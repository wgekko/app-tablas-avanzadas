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WGekko\Documents\tablas-avanzadas\datos\"/>
    </mc:Choice>
  </mc:AlternateContent>
  <bookViews>
    <workbookView xWindow="0" yWindow="0" windowWidth="21570" windowHeight="8160"/>
  </bookViews>
  <sheets>
    <sheet name="BEL" sheetId="2" r:id="rId1"/>
  </sheets>
  <externalReferences>
    <externalReference r:id="rId2"/>
    <externalReference r:id="rId3"/>
  </externalReferences>
  <definedNames>
    <definedName name="_cd1" hidden="1">{"'cua 42'!$A$1:$O$40"}</definedName>
    <definedName name="_Key1" hidden="1">'[1]dep pre'!#REF!</definedName>
    <definedName name="_Order1" hidden="1">255</definedName>
    <definedName name="_Parse_In" hidden="1">'[1]dep pre'!#REF!</definedName>
    <definedName name="_Parse_Out" hidden="1">'[1]dep pre'!#REF!</definedName>
    <definedName name="_Sort" hidden="1">'[1]dep pre'!#REF!</definedName>
    <definedName name="AA" hidden="1">{"'cua 42'!$A$1:$O$40"}</definedName>
    <definedName name="ab" hidden="1">{"'cua 42'!$A$1:$O$40"}</definedName>
    <definedName name="affff" hidden="1">{"'cua 42'!$A$1:$O$40"}</definedName>
    <definedName name="_xlnm.Print_Area" localSheetId="0">BEL!$A$1:$BD$67</definedName>
    <definedName name="BB" hidden="1">{"'cua 42'!$A$1:$O$40"}</definedName>
    <definedName name="cc" hidden="1">{"'cua 42'!$A$1:$O$40"}</definedName>
    <definedName name="dd" hidden="1">{"'cua 42'!$A$1:$O$40"}</definedName>
    <definedName name="dfg" hidden="1">{"'cua 42'!$A$1:$O$40"}</definedName>
    <definedName name="dfgh" hidden="1">{"'cua 42'!$A$1:$O$40"}</definedName>
    <definedName name="fffffffffff" hidden="1">{"'tasa de salida'!$A$1:$G$48"}</definedName>
    <definedName name="gu" hidden="1">'[2]dep pre'!#REF!</definedName>
    <definedName name="hh" hidden="1">{"'cuadro 18 '!$A$1:$L$34"}</definedName>
    <definedName name="hllliun" hidden="1">'[2]dep pre'!#REF!</definedName>
    <definedName name="HTML_CodePage" hidden="1">1252</definedName>
    <definedName name="HTML_Control" hidden="1">{"'tasa de salida'!$A$1:$G$48"}</definedName>
    <definedName name="HTML_Control2" hidden="1">{"'tasa de salida'!$A$1:$G$48"}</definedName>
    <definedName name="HTML_Control3" hidden="1">{"'tasa de salida'!$A$1:$G$48"}</definedName>
    <definedName name="HTML_Description" hidden="1">""</definedName>
    <definedName name="HTML_Email" hidden="1">"dnrmt@trabajo.gov.ar"</definedName>
    <definedName name="HTML_Header" hidden="1">""</definedName>
    <definedName name="HTML_LastUpdate" hidden="1">"22/02/1999"</definedName>
    <definedName name="HTML_LineAfter" hidden="1">TRUE</definedName>
    <definedName name="HTML_LineBefore" hidden="1">FALSE</definedName>
    <definedName name="HTML_Name" hidden="1">"MTSS - SEyCL - DNRMT"</definedName>
    <definedName name="HTML_OBDlg2" hidden="1">TRUE</definedName>
    <definedName name="HTML_OBDlg4" hidden="1">TRUE</definedName>
    <definedName name="HTML_OS" hidden="1">0</definedName>
    <definedName name="HTML_PathFile" hidden="1">"Z:\juanpi\anexo eil - web\html\eil0199\1207.html"</definedName>
    <definedName name="HTML_Title" hidden="1">""</definedName>
    <definedName name="jjjjjjjjjjj" hidden="1">{"'cua 42'!$A$1:$O$40"}</definedName>
    <definedName name="jppmpñ" hidden="1">{"'cua 42'!$A$1:$O$40"}</definedName>
    <definedName name="lkjp" hidden="1">'[2]dep pre'!#REF!</definedName>
    <definedName name="nnnnnnnnnnn" hidden="1">{"'cua 42'!$A$1:$O$40"}</definedName>
    <definedName name="santiago" hidden="1">{"'cua 42'!$A$1:$O$40"}</definedName>
    <definedName name="sertes" hidden="1">{"'cua 42'!$A$1:$O$40"}</definedName>
    <definedName name="sfg" hidden="1">'[2]dep pre'!#REF!</definedName>
    <definedName name="shit" hidden="1">{"'cua 42'!$A$1:$O$40"}</definedName>
    <definedName name="ssssss" hidden="1">{"'tasa de salida'!$A$1:$G$48"}</definedName>
    <definedName name="tyurt" hidden="1">{"'cua 42'!$A$1:$O$40"}</definedName>
    <definedName name="yuetyy" hidden="1">{"'cua 42'!$A$1:$O$40"}</definedName>
  </definedNames>
  <calcPr calcId="162913"/>
</workbook>
</file>

<file path=xl/calcChain.xml><?xml version="1.0" encoding="utf-8"?>
<calcChain xmlns="http://schemas.openxmlformats.org/spreadsheetml/2006/main">
  <c r="CF19" i="2" l="1"/>
  <c r="CI19" i="2"/>
  <c r="CJ19" i="2"/>
  <c r="CH26" i="2"/>
  <c r="CG26" i="2"/>
  <c r="CF26" i="2"/>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BD26" i="2"/>
  <c r="BC26" i="2"/>
  <c r="BB26" i="2"/>
  <c r="BA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Q26" i="2"/>
  <c r="P26" i="2"/>
  <c r="O26" i="2"/>
  <c r="N26" i="2"/>
  <c r="M26" i="2"/>
  <c r="L26" i="2"/>
  <c r="K26" i="2"/>
  <c r="J26" i="2"/>
  <c r="I26" i="2"/>
  <c r="H26" i="2"/>
  <c r="G26" i="2"/>
  <c r="F26" i="2"/>
  <c r="E26" i="2"/>
  <c r="D26" i="2"/>
  <c r="C26" i="2"/>
  <c r="B26" i="2"/>
  <c r="CI26" i="2"/>
  <c r="CH38" i="2"/>
  <c r="CG38" i="2"/>
  <c r="CF38" i="2"/>
  <c r="CE38" i="2"/>
  <c r="CD38" i="2"/>
  <c r="CC38" i="2"/>
  <c r="CB38" i="2"/>
  <c r="CA38" i="2"/>
  <c r="BZ38" i="2"/>
  <c r="BY38" i="2"/>
  <c r="BX38" i="2"/>
  <c r="BW38" i="2"/>
  <c r="BV38" i="2"/>
  <c r="BU38" i="2"/>
  <c r="BT38" i="2"/>
  <c r="BS38" i="2"/>
  <c r="BR38" i="2"/>
  <c r="BQ38" i="2"/>
  <c r="BP38" i="2"/>
  <c r="BO38" i="2"/>
  <c r="BN38" i="2"/>
  <c r="BM38" i="2"/>
  <c r="BL38" i="2"/>
  <c r="BK38" i="2"/>
  <c r="BJ38" i="2"/>
  <c r="BI38" i="2"/>
  <c r="BH38" i="2"/>
  <c r="BG38" i="2"/>
  <c r="BF38" i="2"/>
  <c r="BE38" i="2"/>
  <c r="BD38" i="2"/>
  <c r="BC38" i="2"/>
  <c r="BB38" i="2"/>
  <c r="BA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Q38" i="2"/>
  <c r="P38" i="2"/>
  <c r="O38" i="2"/>
  <c r="N38" i="2"/>
  <c r="M38" i="2"/>
  <c r="L38" i="2"/>
  <c r="K38" i="2"/>
  <c r="J38" i="2"/>
  <c r="I38" i="2"/>
  <c r="H38" i="2"/>
  <c r="G38" i="2"/>
  <c r="F38" i="2"/>
  <c r="E38" i="2"/>
  <c r="D38" i="2"/>
  <c r="C38" i="2"/>
  <c r="B38" i="2"/>
  <c r="CJ38" i="2"/>
  <c r="CI38" i="2"/>
  <c r="CI42" i="2"/>
  <c r="CH42" i="2"/>
  <c r="CG42" i="2"/>
  <c r="CF42" i="2"/>
  <c r="CE42" i="2"/>
  <c r="CD42" i="2"/>
  <c r="CC42" i="2"/>
  <c r="CB42" i="2"/>
  <c r="CA42" i="2"/>
  <c r="BZ42" i="2"/>
  <c r="BY42" i="2"/>
  <c r="BX42" i="2"/>
  <c r="BW42" i="2"/>
  <c r="BV42" i="2"/>
  <c r="BU42" i="2"/>
  <c r="BT42" i="2"/>
  <c r="BS42" i="2"/>
  <c r="BR42" i="2"/>
  <c r="BQ42" i="2"/>
  <c r="BP42" i="2"/>
  <c r="BO42" i="2"/>
  <c r="BN42" i="2"/>
  <c r="BM42" i="2"/>
  <c r="BL42" i="2"/>
  <c r="BK42" i="2"/>
  <c r="BJ42" i="2"/>
  <c r="BI42" i="2"/>
  <c r="BH42" i="2"/>
  <c r="BG42" i="2"/>
  <c r="BF42" i="2"/>
  <c r="BE42" i="2"/>
  <c r="BD42" i="2"/>
  <c r="BC42" i="2"/>
  <c r="BB42" i="2"/>
  <c r="BA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Q42" i="2"/>
  <c r="P42" i="2"/>
  <c r="O42" i="2"/>
  <c r="N42" i="2"/>
  <c r="M42" i="2"/>
  <c r="L42" i="2"/>
  <c r="K42" i="2"/>
  <c r="J42" i="2"/>
  <c r="I42" i="2"/>
  <c r="H42" i="2"/>
  <c r="G42" i="2"/>
  <c r="F42" i="2"/>
  <c r="E42" i="2"/>
  <c r="D42" i="2"/>
  <c r="C42" i="2"/>
  <c r="B42" i="2"/>
  <c r="CJ42" i="2"/>
  <c r="CI47" i="2"/>
  <c r="CH47" i="2"/>
  <c r="CG47" i="2"/>
  <c r="CF47" i="2"/>
  <c r="CE47" i="2"/>
  <c r="CD47" i="2"/>
  <c r="CC47" i="2"/>
  <c r="CB47" i="2"/>
  <c r="CA47" i="2"/>
  <c r="BZ47" i="2"/>
  <c r="BY47" i="2"/>
  <c r="BX47" i="2"/>
  <c r="BW47" i="2"/>
  <c r="BV47" i="2"/>
  <c r="BU47" i="2"/>
  <c r="BT47" i="2"/>
  <c r="BS47" i="2"/>
  <c r="BR47" i="2"/>
  <c r="BQ47" i="2"/>
  <c r="BP47" i="2"/>
  <c r="BO47" i="2"/>
  <c r="BN47" i="2"/>
  <c r="BM47" i="2"/>
  <c r="BL47" i="2"/>
  <c r="BK47" i="2"/>
  <c r="BJ47" i="2"/>
  <c r="BI47" i="2"/>
  <c r="BH47" i="2"/>
  <c r="BG47" i="2"/>
  <c r="BF47" i="2"/>
  <c r="BE47" i="2"/>
  <c r="BD47" i="2"/>
  <c r="BC47" i="2"/>
  <c r="BB47" i="2"/>
  <c r="BA47" i="2"/>
  <c r="AW47" i="2"/>
  <c r="AV47" i="2"/>
  <c r="AU47" i="2"/>
  <c r="AT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Q47" i="2"/>
  <c r="P47" i="2"/>
  <c r="O47" i="2"/>
  <c r="N47" i="2"/>
  <c r="M47" i="2"/>
  <c r="L47" i="2"/>
  <c r="K47" i="2"/>
  <c r="J47" i="2"/>
  <c r="I47" i="2"/>
  <c r="H47" i="2"/>
  <c r="G47" i="2"/>
  <c r="F47" i="2"/>
  <c r="E47" i="2"/>
  <c r="D47" i="2"/>
  <c r="C47" i="2"/>
  <c r="B47" i="2"/>
  <c r="CJ47" i="2"/>
  <c r="CJ26" i="2"/>
  <c r="CH19" i="2"/>
  <c r="CG19" i="2"/>
  <c r="CE19" i="2"/>
  <c r="CD19" i="2"/>
  <c r="CC19" i="2"/>
  <c r="CB19" i="2"/>
  <c r="CA19" i="2"/>
  <c r="BZ19" i="2"/>
  <c r="BY19" i="2"/>
  <c r="BX19" i="2"/>
  <c r="BW19" i="2"/>
  <c r="BV19" i="2"/>
  <c r="BU19" i="2"/>
  <c r="BT19" i="2"/>
  <c r="BS19" i="2"/>
  <c r="BR19" i="2"/>
  <c r="BQ19" i="2"/>
  <c r="BP19" i="2"/>
  <c r="BO19" i="2"/>
  <c r="BN19" i="2"/>
  <c r="BM19" i="2"/>
  <c r="BL19" i="2"/>
  <c r="BK19" i="2"/>
  <c r="BJ19" i="2"/>
  <c r="BI19" i="2"/>
  <c r="BH19" i="2"/>
  <c r="BG19" i="2"/>
  <c r="BF19" i="2"/>
  <c r="BE19" i="2"/>
  <c r="BD19" i="2"/>
  <c r="BC19" i="2"/>
  <c r="BB19" i="2"/>
  <c r="BA19" i="2"/>
  <c r="AW19" i="2"/>
  <c r="AV19" i="2"/>
  <c r="AU19" i="2"/>
  <c r="AT19" i="2"/>
  <c r="AS19" i="2"/>
  <c r="AR19" i="2"/>
  <c r="AQ19" i="2"/>
  <c r="AP19" i="2"/>
  <c r="AO19" i="2"/>
  <c r="AN19" i="2"/>
  <c r="AM19" i="2"/>
  <c r="AL19" i="2"/>
  <c r="AK19" i="2"/>
  <c r="AJ19" i="2"/>
  <c r="AI19" i="2"/>
  <c r="AH19" i="2"/>
  <c r="AG19" i="2"/>
  <c r="AF19" i="2"/>
  <c r="AE19" i="2"/>
  <c r="AD19" i="2"/>
  <c r="AC19" i="2"/>
  <c r="AB19" i="2"/>
  <c r="AA19" i="2"/>
  <c r="Z19" i="2"/>
  <c r="Y19" i="2"/>
  <c r="X19" i="2"/>
  <c r="W19" i="2"/>
  <c r="V19" i="2"/>
  <c r="U19" i="2"/>
  <c r="T19" i="2"/>
  <c r="S19" i="2"/>
  <c r="Q19" i="2"/>
  <c r="P19" i="2"/>
  <c r="O19" i="2"/>
  <c r="N19" i="2"/>
  <c r="M19" i="2"/>
  <c r="L19" i="2"/>
  <c r="K19" i="2"/>
  <c r="J19" i="2"/>
  <c r="I19" i="2"/>
  <c r="H19" i="2"/>
  <c r="G19" i="2"/>
  <c r="F19" i="2"/>
  <c r="E19" i="2"/>
  <c r="D19" i="2"/>
  <c r="C19" i="2"/>
  <c r="B19" i="2"/>
  <c r="C14" i="2"/>
  <c r="B14" i="2"/>
  <c r="CJ14" i="2"/>
  <c r="BB14" i="2"/>
  <c r="CI14" i="2"/>
  <c r="CH14" i="2"/>
  <c r="CG14" i="2"/>
  <c r="CF14" i="2"/>
  <c r="CE14" i="2"/>
  <c r="CD14" i="2"/>
  <c r="CC14" i="2"/>
  <c r="CB14" i="2"/>
  <c r="CA14" i="2"/>
  <c r="BZ14" i="2"/>
  <c r="BY14" i="2"/>
  <c r="BX14" i="2"/>
  <c r="BW14" i="2"/>
  <c r="BV14" i="2"/>
  <c r="BU14" i="2"/>
  <c r="BT14" i="2"/>
  <c r="BS14" i="2"/>
  <c r="BR14" i="2"/>
  <c r="BQ14" i="2"/>
  <c r="BP14" i="2"/>
  <c r="BO14" i="2"/>
  <c r="BN14" i="2"/>
  <c r="BM14" i="2"/>
  <c r="BL14" i="2"/>
  <c r="BK14" i="2"/>
  <c r="BJ14" i="2"/>
  <c r="BI14" i="2"/>
  <c r="BH14" i="2"/>
  <c r="BG14" i="2"/>
  <c r="BF14" i="2"/>
  <c r="BE14" i="2"/>
  <c r="BD14" i="2"/>
  <c r="BC14" i="2"/>
  <c r="BA14" i="2"/>
  <c r="AW14" i="2"/>
  <c r="AV14" i="2"/>
  <c r="AU14" i="2"/>
  <c r="AT14" i="2"/>
  <c r="AS14" i="2"/>
  <c r="AR14" i="2"/>
  <c r="AQ14" i="2"/>
  <c r="AP14" i="2"/>
  <c r="AO14" i="2"/>
  <c r="AN14" i="2"/>
  <c r="AM14" i="2"/>
  <c r="AL14" i="2"/>
  <c r="AK14" i="2"/>
  <c r="AJ14" i="2"/>
  <c r="AI14" i="2"/>
  <c r="AH14" i="2"/>
  <c r="AG14" i="2"/>
  <c r="AF14" i="2"/>
  <c r="AE14" i="2"/>
  <c r="AD14" i="2"/>
  <c r="AC14" i="2"/>
  <c r="AB14" i="2"/>
  <c r="AA14" i="2"/>
  <c r="Z14" i="2"/>
  <c r="Y14" i="2"/>
  <c r="X14" i="2"/>
  <c r="W14" i="2"/>
  <c r="V14" i="2"/>
  <c r="U14" i="2"/>
  <c r="T14" i="2"/>
  <c r="S14" i="2"/>
  <c r="Q14" i="2"/>
  <c r="P14" i="2"/>
  <c r="O14" i="2"/>
  <c r="N14" i="2"/>
  <c r="M14" i="2"/>
  <c r="L14" i="2"/>
  <c r="K14" i="2"/>
  <c r="J14" i="2"/>
  <c r="I14" i="2"/>
  <c r="H14" i="2"/>
  <c r="G14" i="2"/>
  <c r="F14" i="2"/>
  <c r="E14" i="2"/>
  <c r="D14" i="2"/>
  <c r="CJ8" i="2"/>
  <c r="CI8" i="2"/>
  <c r="CH8" i="2"/>
  <c r="CG8" i="2"/>
  <c r="CF8" i="2"/>
  <c r="CE8" i="2"/>
  <c r="CD8" i="2"/>
  <c r="CC8" i="2"/>
  <c r="CB8" i="2"/>
  <c r="CA8" i="2"/>
  <c r="BZ8" i="2"/>
  <c r="BY8" i="2"/>
  <c r="BX8" i="2"/>
  <c r="BW8" i="2"/>
  <c r="BV8" i="2"/>
  <c r="BU8" i="2"/>
  <c r="BT8" i="2"/>
  <c r="BS8" i="2"/>
  <c r="BR8" i="2"/>
  <c r="BQ8" i="2"/>
  <c r="BP8" i="2"/>
  <c r="BO8" i="2"/>
  <c r="BN8" i="2"/>
  <c r="BM8" i="2"/>
  <c r="BL8" i="2"/>
  <c r="BK8" i="2"/>
  <c r="BJ8" i="2"/>
  <c r="BI8" i="2"/>
  <c r="BH8" i="2"/>
  <c r="BG8" i="2"/>
  <c r="BF8" i="2"/>
  <c r="BE8" i="2"/>
  <c r="BD8" i="2"/>
  <c r="BC8" i="2"/>
  <c r="BB8" i="2"/>
  <c r="BA8" i="2"/>
  <c r="AW8" i="2"/>
  <c r="AV8" i="2"/>
  <c r="AU8" i="2"/>
  <c r="AT8" i="2"/>
  <c r="AS8" i="2"/>
  <c r="AR8" i="2"/>
  <c r="AQ8" i="2"/>
  <c r="AP8" i="2"/>
  <c r="AO8" i="2"/>
  <c r="AN8" i="2"/>
  <c r="AM8" i="2"/>
  <c r="AL8" i="2"/>
  <c r="AK8" i="2"/>
  <c r="AJ8" i="2"/>
  <c r="AI8" i="2"/>
  <c r="AH8" i="2"/>
  <c r="AG8" i="2"/>
  <c r="AF8" i="2"/>
  <c r="AE8" i="2"/>
  <c r="AD8" i="2"/>
  <c r="AC8" i="2"/>
  <c r="AB8" i="2"/>
  <c r="AA8" i="2"/>
  <c r="Z8" i="2"/>
  <c r="Y8" i="2"/>
  <c r="X8" i="2"/>
  <c r="W8" i="2"/>
  <c r="V8" i="2"/>
  <c r="U8" i="2"/>
  <c r="T8" i="2"/>
  <c r="S8" i="2"/>
  <c r="Q8" i="2"/>
  <c r="P8" i="2"/>
  <c r="O8" i="2"/>
  <c r="N8" i="2"/>
  <c r="M8" i="2"/>
  <c r="L8" i="2"/>
  <c r="K8" i="2"/>
  <c r="J8" i="2"/>
  <c r="I8" i="2"/>
  <c r="H8" i="2"/>
  <c r="G8" i="2"/>
  <c r="F8" i="2"/>
  <c r="E8" i="2"/>
  <c r="D8" i="2"/>
  <c r="C8" i="2"/>
  <c r="B8" i="2"/>
  <c r="CI5" i="2"/>
  <c r="CJ5" i="2"/>
  <c r="CH5" i="2"/>
  <c r="CG5" i="2"/>
  <c r="CF5" i="2"/>
  <c r="CE5" i="2"/>
  <c r="CD5" i="2"/>
  <c r="CC5" i="2"/>
  <c r="CB5" i="2"/>
  <c r="CA5" i="2"/>
  <c r="BZ5" i="2"/>
  <c r="BY5" i="2"/>
  <c r="BX5" i="2"/>
  <c r="BW5" i="2"/>
  <c r="BV5" i="2"/>
  <c r="BU5" i="2"/>
  <c r="BT5" i="2"/>
  <c r="BS5" i="2"/>
  <c r="BR5" i="2"/>
  <c r="BQ5" i="2"/>
  <c r="BP5" i="2"/>
  <c r="BO5" i="2"/>
  <c r="BN5" i="2"/>
  <c r="BM5" i="2"/>
  <c r="BL5" i="2"/>
  <c r="BK5" i="2"/>
  <c r="BJ5" i="2"/>
  <c r="BI5" i="2"/>
  <c r="BH5" i="2"/>
  <c r="BG5" i="2"/>
  <c r="BF5" i="2"/>
  <c r="BE5" i="2"/>
  <c r="BD5" i="2"/>
  <c r="BC5" i="2"/>
  <c r="BB5" i="2"/>
  <c r="BA5" i="2"/>
  <c r="AW5" i="2"/>
  <c r="AV5" i="2"/>
  <c r="AU5" i="2"/>
  <c r="AT5" i="2"/>
  <c r="AS5" i="2"/>
  <c r="AR5" i="2"/>
  <c r="AQ5" i="2"/>
  <c r="AP5" i="2"/>
  <c r="AO5" i="2"/>
  <c r="AN5" i="2"/>
  <c r="AM5" i="2"/>
  <c r="AL5" i="2"/>
  <c r="AK5" i="2"/>
  <c r="AJ5" i="2"/>
  <c r="AI5" i="2"/>
  <c r="AH5" i="2"/>
  <c r="AG5" i="2"/>
  <c r="AF5" i="2"/>
  <c r="AE5" i="2"/>
  <c r="AD5" i="2"/>
  <c r="AC5" i="2"/>
  <c r="AB5" i="2"/>
  <c r="AA5" i="2"/>
  <c r="Z5" i="2"/>
  <c r="Y5" i="2"/>
  <c r="X5" i="2"/>
  <c r="W5" i="2"/>
  <c r="V5" i="2"/>
  <c r="U5" i="2"/>
  <c r="T5" i="2"/>
  <c r="S5" i="2"/>
  <c r="Q5" i="2"/>
  <c r="P5" i="2"/>
  <c r="O5" i="2"/>
  <c r="N5" i="2"/>
  <c r="M5" i="2"/>
  <c r="L5" i="2"/>
  <c r="K5" i="2"/>
  <c r="J5" i="2"/>
  <c r="I5" i="2"/>
  <c r="H5" i="2"/>
  <c r="G5" i="2"/>
  <c r="F5" i="2"/>
  <c r="E5" i="2"/>
  <c r="D5" i="2"/>
  <c r="C5" i="2"/>
  <c r="B5" i="2"/>
  <c r="AX52" i="2" l="1"/>
  <c r="AY52" i="2" s="1"/>
  <c r="AZ52" i="2" s="1"/>
  <c r="AX51" i="2"/>
  <c r="AY51" i="2" s="1"/>
  <c r="AZ51" i="2" s="1"/>
  <c r="AX50" i="2"/>
  <c r="AY50" i="2" s="1"/>
  <c r="AZ50" i="2" s="1"/>
  <c r="AX49" i="2"/>
  <c r="AY49" i="2" s="1"/>
  <c r="AZ49" i="2" s="1"/>
  <c r="AX48" i="2"/>
  <c r="AX46" i="2"/>
  <c r="AY46" i="2" s="1"/>
  <c r="AZ46" i="2" s="1"/>
  <c r="AX45" i="2"/>
  <c r="AY45" i="2" s="1"/>
  <c r="AZ45" i="2" s="1"/>
  <c r="AX44" i="2"/>
  <c r="AY44" i="2" s="1"/>
  <c r="AZ44" i="2" s="1"/>
  <c r="AX43" i="2"/>
  <c r="AX41" i="2"/>
  <c r="AY41" i="2" s="1"/>
  <c r="AZ41" i="2" s="1"/>
  <c r="AX40" i="2"/>
  <c r="AY40" i="2" s="1"/>
  <c r="AZ40" i="2" s="1"/>
  <c r="AX39" i="2"/>
  <c r="AX37" i="2"/>
  <c r="AY37" i="2" s="1"/>
  <c r="AZ37" i="2" s="1"/>
  <c r="AX36" i="2"/>
  <c r="AY36" i="2" s="1"/>
  <c r="AZ36" i="2" s="1"/>
  <c r="AX35" i="2"/>
  <c r="AY35" i="2" s="1"/>
  <c r="AZ35" i="2" s="1"/>
  <c r="AX34" i="2"/>
  <c r="AY34" i="2" s="1"/>
  <c r="AZ34" i="2" s="1"/>
  <c r="AX33" i="2"/>
  <c r="AY33" i="2" s="1"/>
  <c r="AZ33" i="2" s="1"/>
  <c r="AX32" i="2"/>
  <c r="AY32" i="2" s="1"/>
  <c r="AZ32" i="2" s="1"/>
  <c r="AX31" i="2"/>
  <c r="AY31" i="2" s="1"/>
  <c r="AZ31" i="2" s="1"/>
  <c r="AX30" i="2"/>
  <c r="AY30" i="2" s="1"/>
  <c r="AZ30" i="2" s="1"/>
  <c r="AX29" i="2"/>
  <c r="AY29" i="2" s="1"/>
  <c r="AZ29" i="2" s="1"/>
  <c r="AX28" i="2"/>
  <c r="AY28" i="2" s="1"/>
  <c r="AZ28" i="2" s="1"/>
  <c r="AX27" i="2"/>
  <c r="AX25" i="2"/>
  <c r="AY25" i="2" s="1"/>
  <c r="AZ25" i="2" s="1"/>
  <c r="AX24" i="2"/>
  <c r="AY24" i="2" s="1"/>
  <c r="AZ24" i="2" s="1"/>
  <c r="AX23" i="2"/>
  <c r="AY23" i="2" s="1"/>
  <c r="AZ23" i="2" s="1"/>
  <c r="AX22" i="2"/>
  <c r="AY22" i="2" s="1"/>
  <c r="AZ22" i="2" s="1"/>
  <c r="AX21" i="2"/>
  <c r="AY21" i="2" s="1"/>
  <c r="AZ21" i="2" s="1"/>
  <c r="AX20" i="2"/>
  <c r="AX18" i="2"/>
  <c r="AY18" i="2" s="1"/>
  <c r="AZ18" i="2" s="1"/>
  <c r="AX17" i="2"/>
  <c r="AY17" i="2" s="1"/>
  <c r="AZ17" i="2" s="1"/>
  <c r="AX16" i="2"/>
  <c r="AY16" i="2" s="1"/>
  <c r="AZ16" i="2" s="1"/>
  <c r="AX15" i="2"/>
  <c r="AX13" i="2"/>
  <c r="AY13" i="2" s="1"/>
  <c r="AZ13" i="2" s="1"/>
  <c r="AX12" i="2"/>
  <c r="AY12" i="2" s="1"/>
  <c r="AZ12" i="2" s="1"/>
  <c r="AX11" i="2"/>
  <c r="AY11" i="2" s="1"/>
  <c r="AZ11" i="2" s="1"/>
  <c r="AX10" i="2"/>
  <c r="AY10" i="2" s="1"/>
  <c r="AZ10" i="2" s="1"/>
  <c r="AX9" i="2"/>
  <c r="AX7" i="2"/>
  <c r="AY7" i="2" s="1"/>
  <c r="AZ7" i="2" s="1"/>
  <c r="AX6" i="2"/>
  <c r="AX54" i="2"/>
  <c r="AY54" i="2" s="1"/>
  <c r="AZ54" i="2" s="1"/>
  <c r="AX53" i="2"/>
  <c r="AY53" i="2" s="1"/>
  <c r="AZ53" i="2" s="1"/>
  <c r="R52" i="2"/>
  <c r="R51" i="2"/>
  <c r="R50" i="2"/>
  <c r="R49" i="2"/>
  <c r="R48" i="2"/>
  <c r="R47" i="2" s="1"/>
  <c r="R46" i="2"/>
  <c r="R45" i="2"/>
  <c r="R44" i="2"/>
  <c r="R43" i="2"/>
  <c r="R41" i="2"/>
  <c r="R40" i="2"/>
  <c r="R39" i="2"/>
  <c r="R38" i="2" s="1"/>
  <c r="R37" i="2"/>
  <c r="R36" i="2"/>
  <c r="R35" i="2"/>
  <c r="R34" i="2"/>
  <c r="R33" i="2"/>
  <c r="R32" i="2"/>
  <c r="R31" i="2"/>
  <c r="R30" i="2"/>
  <c r="R29" i="2"/>
  <c r="R28" i="2"/>
  <c r="R27" i="2"/>
  <c r="R25" i="2"/>
  <c r="R24" i="2"/>
  <c r="R23" i="2"/>
  <c r="R22" i="2"/>
  <c r="R21" i="2"/>
  <c r="R20" i="2"/>
  <c r="R18" i="2"/>
  <c r="R17" i="2"/>
  <c r="R16" i="2"/>
  <c r="R15" i="2"/>
  <c r="R13" i="2"/>
  <c r="R12" i="2"/>
  <c r="R11" i="2"/>
  <c r="R10" i="2"/>
  <c r="R9" i="2"/>
  <c r="R8" i="2" s="1"/>
  <c r="R7" i="2"/>
  <c r="R6" i="2"/>
  <c r="R5" i="2" s="1"/>
  <c r="R54" i="2"/>
  <c r="R53" i="2"/>
  <c r="AY6" i="2" l="1"/>
  <c r="AX5" i="2"/>
  <c r="AY9" i="2"/>
  <c r="AX8" i="2"/>
  <c r="AY27" i="2"/>
  <c r="AX26" i="2"/>
  <c r="AY20" i="2"/>
  <c r="AX19" i="2"/>
  <c r="AY48" i="2"/>
  <c r="AX47" i="2"/>
  <c r="AY39" i="2"/>
  <c r="AX38" i="2"/>
  <c r="R19" i="2"/>
  <c r="R14" i="2"/>
  <c r="R42" i="2"/>
  <c r="R26" i="2"/>
  <c r="AY15" i="2"/>
  <c r="AX14" i="2"/>
  <c r="AY43" i="2"/>
  <c r="AX42" i="2"/>
  <c r="AZ20" i="2" l="1"/>
  <c r="AZ19" i="2" s="1"/>
  <c r="AY19" i="2"/>
  <c r="AZ27" i="2"/>
  <c r="AZ26" i="2" s="1"/>
  <c r="AY26" i="2"/>
  <c r="AZ43" i="2"/>
  <c r="AZ42" i="2" s="1"/>
  <c r="AY42" i="2"/>
  <c r="AZ39" i="2"/>
  <c r="AZ38" i="2" s="1"/>
  <c r="AY38" i="2"/>
  <c r="AZ9" i="2"/>
  <c r="AZ8" i="2" s="1"/>
  <c r="AY8" i="2"/>
  <c r="AZ15" i="2"/>
  <c r="AZ14" i="2" s="1"/>
  <c r="AY14" i="2"/>
  <c r="AZ48" i="2"/>
  <c r="AZ47" i="2" s="1"/>
  <c r="AY47" i="2"/>
  <c r="AZ6" i="2"/>
  <c r="AZ5" i="2" s="1"/>
  <c r="AY5" i="2"/>
</calcChain>
</file>

<file path=xl/sharedStrings.xml><?xml version="1.0" encoding="utf-8"?>
<sst xmlns="http://schemas.openxmlformats.org/spreadsheetml/2006/main" count="150" uniqueCount="150">
  <si>
    <t>Mercado de trabajo - EPH</t>
  </si>
  <si>
    <t>Notas:</t>
  </si>
  <si>
    <t>Total aglomerados relevados</t>
  </si>
  <si>
    <t>7. Incluye Administración pública y defensa, asociaciones sindicales, empresariales y sociales, servicios culturales y deportivos, entre otros.</t>
  </si>
  <si>
    <t>1.El INDEC ha dispuesto que las series estadísticas de la EPH del período comprendido entre el 2° trimestre de 2007 y hasta diciembre 2015 deben ser consideradas con reservas, conforme a la emergencia estadística (Decretos 181/15 y 55/16) . Ver "Consideración sobre la revisión, evaluación y recuperación de la EPH" publicado por INDEC el 23/8/2016.</t>
  </si>
  <si>
    <t>2. No se presenta la información debido a que en dicho trimestre no se relevaron algunos de los principales aglomerados de la EPH (GBA, Mar del Plata, Bahía Blanca y Gran La Plata).</t>
  </si>
  <si>
    <t>3. A partir del 1° trimestre de 2014 todas las viviendas seleccionadas para la EPH fueron extraídas de la Muestra Maestra Urbana de Viviendas (MMUVRA), basada en el CNPHV 2010, y todas las estimaciones finales se ajustan de acuerdo a las proyecciones de población del CNPHyV 2010. Esto produce cambios de diferente significación en relación a las estructuras de las poblaciones proyectadas lo cual impacta en las estimaciones sobre propiedades asociadas a la distribución por sexo o por edades. Las poblaciones ajustadas según las proyecciones del CNPHyV 2010 exhiben Tasas de actividad y de empleo menores que las ajustadas según las proyecciones del CNPHyV 2001. Es decir que las estimaciones de la EPH a partir del año 2014 no son estrictamente comparables con las de períodos anteriores.</t>
  </si>
  <si>
    <t>4. Información no disponible</t>
  </si>
  <si>
    <r>
      <t>Tasa de informalidad de asalariados</t>
    </r>
    <r>
      <rPr>
        <b/>
        <vertAlign val="superscript"/>
        <sz val="14"/>
        <color indexed="9"/>
        <rFont val="Arial"/>
        <family val="2"/>
      </rPr>
      <t xml:space="preserve"> </t>
    </r>
    <r>
      <rPr>
        <b/>
        <sz val="14"/>
        <color indexed="9"/>
        <rFont val="Arial"/>
        <family val="2"/>
      </rPr>
      <t xml:space="preserve">según sexo, grupos de edad, posición en el hogar, nivel educativo, rama de actividad, tamaño del establecimiento, calificación de la tarea y quintil de ingreso per cápita familiar </t>
    </r>
  </si>
  <si>
    <t>5. Tasa de informalidad de asalariados considerando a los asalariados de 14 años y más, tal como es presentada por el Indec en sus informes de prensa.</t>
  </si>
  <si>
    <t>6. Tasa informalidad de asalariados considerando a los asalariados de 18 años y más. De acuerdo a la Ley Nacional del Sistema Integrado de Jubilaciones y Pensiones (Ley 24.241), son los asalariados mayores de 18 años los que se encuentran obligados a realizar aportes a la seguridad social (Artículo 2). Por lo tanto, para el cálculo de la tasa de empleo no registrado se siguen los criterios metodológicos definidos por el INDEC con la única excepción de que en este caso se considera únicamente a los asalariados mayores de 18 años.</t>
  </si>
  <si>
    <t>Fuente: STEySS – Dirección Nacional de Estudios y Estadísticas Laborales, en base a EPH (INDEC).</t>
  </si>
  <si>
    <t>Categoría</t>
  </si>
  <si>
    <t>3°Trim-03</t>
  </si>
  <si>
    <t>4°Trim-03</t>
  </si>
  <si>
    <t>1°Trim-04</t>
  </si>
  <si>
    <t>2°Trim-04</t>
  </si>
  <si>
    <t>3°Trim-04</t>
  </si>
  <si>
    <t>4°Trim-04</t>
  </si>
  <si>
    <t>1°Trim-05</t>
  </si>
  <si>
    <t>2°Trim-05</t>
  </si>
  <si>
    <t>3°Trim-05</t>
  </si>
  <si>
    <t>4°Trim-05</t>
  </si>
  <si>
    <t>1°Trim-06</t>
  </si>
  <si>
    <t>2°Trim-06</t>
  </si>
  <si>
    <t>3°Trim-06</t>
  </si>
  <si>
    <t>4°Trim-06</t>
  </si>
  <si>
    <t>1°Trim-07</t>
  </si>
  <si>
    <t xml:space="preserve">2°Trim-07 </t>
  </si>
  <si>
    <t xml:space="preserve">3°Trim-07 </t>
  </si>
  <si>
    <t xml:space="preserve">4°Trim-07 </t>
  </si>
  <si>
    <t>1°Trim-08</t>
  </si>
  <si>
    <t>2°Trim-08</t>
  </si>
  <si>
    <t>3°Trim-08</t>
  </si>
  <si>
    <t>4°Trim-08</t>
  </si>
  <si>
    <t>1°Trim-09</t>
  </si>
  <si>
    <t>2°Trim-09</t>
  </si>
  <si>
    <t>3°Trim-09</t>
  </si>
  <si>
    <t>4°Trim-09</t>
  </si>
  <si>
    <t>1°Trim-10</t>
  </si>
  <si>
    <t>2°Trim-10</t>
  </si>
  <si>
    <t xml:space="preserve">3°Trim-10 </t>
  </si>
  <si>
    <t>4°Trim-10</t>
  </si>
  <si>
    <t>1°Trim-11</t>
  </si>
  <si>
    <t>2°Trim-11</t>
  </si>
  <si>
    <t>3°Trim-11</t>
  </si>
  <si>
    <t>4°Trim-11</t>
  </si>
  <si>
    <t>1°Trim-12</t>
  </si>
  <si>
    <t>2°Trim-12</t>
  </si>
  <si>
    <t>3°Trim-12</t>
  </si>
  <si>
    <t>4°Trim-12</t>
  </si>
  <si>
    <t>1°Trim-13</t>
  </si>
  <si>
    <t>2°Trim-13</t>
  </si>
  <si>
    <t>3°Trim-13</t>
  </si>
  <si>
    <t>4°Trim-13</t>
  </si>
  <si>
    <t>1°Trim-14</t>
  </si>
  <si>
    <t>2°Trim-14</t>
  </si>
  <si>
    <t>3°Trim-14</t>
  </si>
  <si>
    <t>4°Trim-14</t>
  </si>
  <si>
    <t>1°Trim-15</t>
  </si>
  <si>
    <t>2°Trim-15</t>
  </si>
  <si>
    <t>3°Trim-15</t>
  </si>
  <si>
    <t>4°Trim-15</t>
  </si>
  <si>
    <t>1°Trim-16</t>
  </si>
  <si>
    <t>2°Trim-16</t>
  </si>
  <si>
    <t>3°Trim-16</t>
  </si>
  <si>
    <t>4°Trim-16</t>
  </si>
  <si>
    <t>1°Trim-17</t>
  </si>
  <si>
    <t>2°Trim-17</t>
  </si>
  <si>
    <t>3°Trim-17</t>
  </si>
  <si>
    <t>4°Trim-17</t>
  </si>
  <si>
    <t>1°Trim-18</t>
  </si>
  <si>
    <t>2°Trim-18</t>
  </si>
  <si>
    <t>3°Trim-18</t>
  </si>
  <si>
    <t>4°Trim-18</t>
  </si>
  <si>
    <t>1°Trim-19</t>
  </si>
  <si>
    <t>2°Trim-19</t>
  </si>
  <si>
    <t>3°Trim-19</t>
  </si>
  <si>
    <t>4°Trim-19</t>
  </si>
  <si>
    <t>1°Trim-20</t>
  </si>
  <si>
    <t>2°Trim-20</t>
  </si>
  <si>
    <t>3°Trim-20</t>
  </si>
  <si>
    <t>4°Trim-20</t>
  </si>
  <si>
    <t>1°Trim-21</t>
  </si>
  <si>
    <t>2°Trim-21</t>
  </si>
  <si>
    <t>3°Trim-21</t>
  </si>
  <si>
    <t>4°Trim-21</t>
  </si>
  <si>
    <t>1°Trim-22</t>
  </si>
  <si>
    <t>2°Trim-22</t>
  </si>
  <si>
    <t>3°Trim-22</t>
  </si>
  <si>
    <t>4°Trim-22</t>
  </si>
  <si>
    <t>1°Trim-23</t>
  </si>
  <si>
    <t>2°Trim-23</t>
  </si>
  <si>
    <t>3°Trim-23</t>
  </si>
  <si>
    <t>4°Trim-23</t>
  </si>
  <si>
    <t>1°Trim-24</t>
  </si>
  <si>
    <t>2°Trim-24</t>
  </si>
  <si>
    <t>3°Trim-24</t>
  </si>
  <si>
    <t>4°Trim-24</t>
  </si>
  <si>
    <t>1°Trim-25</t>
  </si>
  <si>
    <t>1-Sexo</t>
  </si>
  <si>
    <t>1-Varones</t>
  </si>
  <si>
    <t>1-Mujeres</t>
  </si>
  <si>
    <t>2-Grupos de edad</t>
  </si>
  <si>
    <t>2-Grupos de edad-18 a 24 años</t>
  </si>
  <si>
    <t>2-Grupos de edad-Entre 25 y 34 años</t>
  </si>
  <si>
    <t>2-Grupos de edad-Entre 35 y 49 años</t>
  </si>
  <si>
    <t>2-Grupos de edad-Entre 50 y 59 años</t>
  </si>
  <si>
    <t>2-Grupos de edad-60 años y más</t>
  </si>
  <si>
    <t>3-Posición en el hogar</t>
  </si>
  <si>
    <t>3-Posición en el hogar-Jefe</t>
  </si>
  <si>
    <t>3-Posición en el hogar-Cónyuge</t>
  </si>
  <si>
    <t>3-Posición en el hogar-Hijo</t>
  </si>
  <si>
    <t>3-Posición en el hogar-Otros</t>
  </si>
  <si>
    <t>4-Nivel educativo</t>
  </si>
  <si>
    <t>4-Nivel educativo-Hasta primario incompleto</t>
  </si>
  <si>
    <t>4-Nivel educativo-Primario completo</t>
  </si>
  <si>
    <t>4-Nivel educativo-Secundario incompleto</t>
  </si>
  <si>
    <t>4-Nivel educativo-Secundario completo</t>
  </si>
  <si>
    <t>4-Nivel educativo-Terc/univ incompleto</t>
  </si>
  <si>
    <t>4-Nivel educativo-Terc/univ completo</t>
  </si>
  <si>
    <t>5-Rama de actividad</t>
  </si>
  <si>
    <t>5-Rama de actividad-Actividades primarias</t>
  </si>
  <si>
    <t>5-Rama de actividad-Industria manufacturera</t>
  </si>
  <si>
    <t>5-Rama de actividad-Construcción</t>
  </si>
  <si>
    <t>5-Rama de actividad-Comercio</t>
  </si>
  <si>
    <t>5-Rama de actividad-Hoteles y restaurantes</t>
  </si>
  <si>
    <t>5-Rama de actividad-Transporte, almacenaje y comunicaciones</t>
  </si>
  <si>
    <t>5-Rama de actividad-Servicios financieros, inmobiliarios, alquileres y empresariales</t>
  </si>
  <si>
    <t>5-Rama de actividad-Enseñanza</t>
  </si>
  <si>
    <t>5-Rama de actividad-Servicios sociales y de salud</t>
  </si>
  <si>
    <t>5-Rama de actividad-Trabajo doméstico</t>
  </si>
  <si>
    <r>
      <t xml:space="preserve">5-Rama de actividad-Otros servicios comunitarios, sociales y personales </t>
    </r>
    <r>
      <rPr>
        <vertAlign val="superscript"/>
        <sz val="10"/>
        <rFont val="Arial"/>
        <family val="2"/>
      </rPr>
      <t>7</t>
    </r>
  </si>
  <si>
    <t>6-Tamaño del establecimiento</t>
  </si>
  <si>
    <t>6-Tamaño del establecimiento-Hasta 5 personas</t>
  </si>
  <si>
    <t>6-Tamaño del establecimiento-}Entre 6 y 40 personas</t>
  </si>
  <si>
    <t>6-Tamaño del establecimiento-Más de 40 personas</t>
  </si>
  <si>
    <t xml:space="preserve">7-Calificación de la tarea </t>
  </si>
  <si>
    <t>7-Calificación de la tarea -Profesional</t>
  </si>
  <si>
    <t>7-Calificación de la tarea -Técnica</t>
  </si>
  <si>
    <t>7-Calificación de la tarea -Operativa</t>
  </si>
  <si>
    <t>7-Calificación de la tarea -Sin calificación</t>
  </si>
  <si>
    <t>8-Ingreso per cápita familiar</t>
  </si>
  <si>
    <t>8-Ingreso per cápita familiar-1° quintil</t>
  </si>
  <si>
    <t>8-Ingreso per cápita familiar-2° quintil</t>
  </si>
  <si>
    <t>8-Ingreso per cápita familiar-3° quintil</t>
  </si>
  <si>
    <t>8-Ingreso per cápita familiar-4° quintil</t>
  </si>
  <si>
    <t>8-Ingreso per cápita familiar-5° quintil</t>
  </si>
  <si>
    <r>
      <t xml:space="preserve">9-Tasa de informalidad de asalariados de 14 años y más </t>
    </r>
    <r>
      <rPr>
        <b/>
        <vertAlign val="superscript"/>
        <sz val="10"/>
        <rFont val="Arial"/>
        <family val="2"/>
      </rPr>
      <t>5</t>
    </r>
  </si>
  <si>
    <r>
      <t xml:space="preserve">10-Tasa de informalidad de asalariados de 18 años y más </t>
    </r>
    <r>
      <rPr>
        <b/>
        <vertAlign val="superscript"/>
        <sz val="10"/>
        <rFont val="Arial"/>
        <family val="2"/>
      </rPr>
      <t>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</si>
</sst>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 * #,##0.00_ ;_ * \-#,##0.00_ ;_ * &quot;-&quot;??_ ;_ @_ "/>
    <numFmt numFmtId="165" formatCode="0.0"/>
    <numFmt numFmtId="166" formatCode="_ * #,##0.0_ ;_ * \-#,##0.0_ ;_ * &quot;-&quot;??_ ;_ @_ "/>
    <numFmt numFmtId="167" formatCode="#.##000"/>
    <numFmt numFmtId="168" formatCode="\$#,#00"/>
    <numFmt numFmtId="169" formatCode="#,#00"/>
    <numFmt numFmtId="170" formatCode="#.##0,"/>
    <numFmt numFmtId="171" formatCode="\$#,"/>
    <numFmt numFmtId="172" formatCode="_ [$€-2]\ * #,##0.00_ ;_ [$€-2]\ * \-#,##0.00_ ;_ [$€-2]\ * &quot;-&quot;??_ "/>
    <numFmt numFmtId="173" formatCode="&quot;$&quot;#,##0\ ;\(&quot;$&quot;#,##0\)"/>
    <numFmt numFmtId="174" formatCode="_ * #,##0_ ;_ * \-#,##0_ ;_ * &quot;-&quot;??_ ;_ @_ "/>
  </numFmts>
  <fonts count="46" x14ac:knownFonts="1">
    <font>
      <sz val="10"/>
      <name val="Arial"/>
    </font>
    <font>
      <sz val="10"/>
      <name val="Arial"/>
      <family val="2"/>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17"/>
      <name val="Calibri"/>
      <family val="2"/>
    </font>
    <font>
      <b/>
      <sz val="1"/>
      <color indexed="8"/>
      <name val="Courier"/>
      <family val="3"/>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sz val="10"/>
      <color indexed="22"/>
      <name val="Arial"/>
      <family val="2"/>
    </font>
    <font>
      <b/>
      <sz val="11"/>
      <color indexed="56"/>
      <name val="Calibri"/>
      <family val="2"/>
    </font>
    <font>
      <sz val="11"/>
      <color indexed="62"/>
      <name val="Calibri"/>
      <family val="2"/>
    </font>
    <font>
      <sz val="12"/>
      <name val="Helv"/>
    </font>
    <font>
      <i/>
      <sz val="10"/>
      <color indexed="23"/>
      <name val="Arial"/>
      <family val="2"/>
    </font>
    <font>
      <sz val="1"/>
      <color indexed="8"/>
      <name val="Courier"/>
      <family val="3"/>
    </font>
    <font>
      <sz val="10"/>
      <color indexed="17"/>
      <name val="Arial"/>
      <family val="2"/>
    </font>
    <font>
      <b/>
      <sz val="18"/>
      <color indexed="22"/>
      <name val="Arial"/>
      <family val="2"/>
    </font>
    <font>
      <b/>
      <sz val="12"/>
      <color indexed="22"/>
      <name val="Arial"/>
      <family val="2"/>
    </font>
    <font>
      <b/>
      <sz val="11"/>
      <color indexed="56"/>
      <name val="Arial"/>
      <family val="2"/>
    </font>
    <font>
      <sz val="11"/>
      <color indexed="20"/>
      <name val="Calibri"/>
      <family val="2"/>
    </font>
    <font>
      <sz val="10"/>
      <color indexed="62"/>
      <name val="Arial"/>
      <family val="2"/>
    </font>
    <font>
      <sz val="10"/>
      <color indexed="52"/>
      <name val="Arial"/>
      <family val="2"/>
    </font>
    <font>
      <sz val="10"/>
      <color indexed="60"/>
      <name val="Arial"/>
      <family val="2"/>
    </font>
    <font>
      <sz val="10"/>
      <name val="Verdana"/>
      <family val="2"/>
    </font>
    <font>
      <b/>
      <sz val="10"/>
      <color indexed="63"/>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sz val="10"/>
      <color indexed="10"/>
      <name val="Arial"/>
      <family val="2"/>
    </font>
    <font>
      <sz val="10"/>
      <name val="Arial"/>
      <family val="2"/>
    </font>
    <font>
      <b/>
      <sz val="14"/>
      <color indexed="9"/>
      <name val="Arial"/>
      <family val="2"/>
    </font>
    <font>
      <b/>
      <sz val="11"/>
      <color indexed="9"/>
      <name val="Arial"/>
      <family val="2"/>
    </font>
    <font>
      <b/>
      <sz val="12"/>
      <name val="Arial"/>
      <family val="2"/>
    </font>
    <font>
      <b/>
      <sz val="10"/>
      <name val="Arial"/>
      <family val="2"/>
    </font>
    <font>
      <b/>
      <vertAlign val="superscript"/>
      <sz val="14"/>
      <color indexed="9"/>
      <name val="Arial"/>
      <family val="2"/>
    </font>
    <font>
      <b/>
      <vertAlign val="superscript"/>
      <sz val="10"/>
      <name val="Arial"/>
      <family val="2"/>
    </font>
    <font>
      <vertAlign val="superscript"/>
      <sz val="10"/>
      <name val="Arial"/>
      <family val="2"/>
    </font>
    <font>
      <b/>
      <sz val="10"/>
      <color theme="4"/>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3" tint="0.3999755851924192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6" tint="0.79998168889431442"/>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style="double">
        <color indexed="64"/>
      </top>
      <bottom/>
      <diagonal/>
    </border>
    <border>
      <left/>
      <right/>
      <top/>
      <bottom style="medium">
        <color indexed="64"/>
      </bottom>
      <diagonal/>
    </border>
    <border>
      <left/>
      <right/>
      <top style="medium">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0">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0" borderId="0">
      <protection locked="0"/>
    </xf>
    <xf numFmtId="0" fontId="8" fillId="0" borderId="0">
      <protection locked="0"/>
    </xf>
    <xf numFmtId="0" fontId="9" fillId="20" borderId="1" applyNumberFormat="0" applyAlignment="0" applyProtection="0"/>
    <xf numFmtId="0" fontId="10" fillId="20" borderId="1" applyNumberFormat="0" applyAlignment="0" applyProtection="0"/>
    <xf numFmtId="0" fontId="11" fillId="21" borderId="2" applyNumberFormat="0" applyAlignment="0" applyProtection="0"/>
    <xf numFmtId="0" fontId="12" fillId="0" borderId="3" applyNumberFormat="0" applyFill="0" applyAlignment="0" applyProtection="0"/>
    <xf numFmtId="0" fontId="13" fillId="21" borderId="2" applyNumberFormat="0" applyAlignment="0" applyProtection="0"/>
    <xf numFmtId="3" fontId="14" fillId="0" borderId="0" applyFont="0" applyFill="0" applyBorder="0" applyAlignment="0" applyProtection="0"/>
    <xf numFmtId="173" fontId="14" fillId="0" borderId="0" applyFont="0" applyFill="0" applyBorder="0" applyAlignment="0" applyProtection="0"/>
    <xf numFmtId="0" fontId="14" fillId="0" borderId="0" applyFont="0" applyFill="0" applyBorder="0" applyAlignment="0" applyProtection="0"/>
    <xf numFmtId="0" fontId="15" fillId="0" borderId="0" applyNumberFormat="0" applyFill="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16" fillId="7" borderId="1" applyNumberFormat="0" applyAlignment="0" applyProtection="0"/>
    <xf numFmtId="0" fontId="17" fillId="0" borderId="0"/>
    <xf numFmtId="172" fontId="1" fillId="0" borderId="0" applyFont="0" applyFill="0" applyBorder="0" applyAlignment="0" applyProtection="0"/>
    <xf numFmtId="0" fontId="18" fillId="0" borderId="0" applyNumberFormat="0" applyFill="0" applyBorder="0" applyAlignment="0" applyProtection="0"/>
    <xf numFmtId="0" fontId="19" fillId="0" borderId="0">
      <protection locked="0"/>
    </xf>
    <xf numFmtId="169" fontId="19" fillId="0" borderId="0">
      <protection locked="0"/>
    </xf>
    <xf numFmtId="2" fontId="14" fillId="0" borderId="0" applyFont="0" applyFill="0" applyBorder="0" applyAlignment="0" applyProtection="0"/>
    <xf numFmtId="0" fontId="20" fillId="4" borderId="0" applyNumberFormat="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4" applyNumberFormat="0" applyFill="0" applyAlignment="0" applyProtection="0"/>
    <xf numFmtId="0" fontId="23" fillId="0" borderId="0" applyNumberFormat="0" applyFill="0" applyBorder="0" applyAlignment="0" applyProtection="0"/>
    <xf numFmtId="0" fontId="24" fillId="3" borderId="0" applyNumberFormat="0" applyBorder="0" applyAlignment="0" applyProtection="0"/>
    <xf numFmtId="0" fontId="25" fillId="7" borderId="1" applyNumberFormat="0" applyAlignment="0" applyProtection="0"/>
    <xf numFmtId="0" fontId="26" fillId="0" borderId="3" applyNumberFormat="0" applyFill="0" applyAlignment="0" applyProtection="0"/>
    <xf numFmtId="164" fontId="1" fillId="0" borderId="0" applyFont="0" applyFill="0" applyBorder="0" applyAlignment="0" applyProtection="0"/>
    <xf numFmtId="164" fontId="37" fillId="0" borderId="0" applyFont="0" applyFill="0" applyBorder="0" applyAlignment="0" applyProtection="0"/>
    <xf numFmtId="168" fontId="19" fillId="0" borderId="0">
      <protection locked="0"/>
    </xf>
    <xf numFmtId="171" fontId="19" fillId="0" borderId="0">
      <protection locked="0"/>
    </xf>
    <xf numFmtId="0" fontId="27" fillId="22" borderId="0" applyNumberFormat="0" applyBorder="0" applyAlignment="0" applyProtection="0"/>
    <xf numFmtId="0" fontId="37" fillId="0" borderId="0"/>
    <xf numFmtId="0" fontId="28" fillId="0" borderId="0"/>
    <xf numFmtId="0" fontId="1" fillId="23" borderId="5" applyNumberFormat="0" applyFont="0" applyAlignment="0" applyProtection="0"/>
    <xf numFmtId="0" fontId="1" fillId="23" borderId="5" applyNumberFormat="0" applyFont="0" applyAlignment="0" applyProtection="0"/>
    <xf numFmtId="0" fontId="29" fillId="20" borderId="6" applyNumberFormat="0" applyAlignment="0" applyProtection="0"/>
    <xf numFmtId="167" fontId="19" fillId="0" borderId="0">
      <protection locked="0"/>
    </xf>
    <xf numFmtId="170" fontId="19" fillId="0" borderId="0">
      <protection locked="0"/>
    </xf>
    <xf numFmtId="0" fontId="30" fillId="20" borderId="6" applyNumberFormat="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7" applyNumberFormat="0" applyFill="0" applyAlignment="0" applyProtection="0"/>
    <xf numFmtId="0" fontId="35" fillId="0" borderId="8" applyNumberFormat="0" applyFill="0" applyAlignment="0" applyProtection="0"/>
    <xf numFmtId="0" fontId="15" fillId="0" borderId="4" applyNumberFormat="0" applyFill="0" applyAlignment="0" applyProtection="0"/>
    <xf numFmtId="0" fontId="19" fillId="0" borderId="9">
      <protection locked="0"/>
    </xf>
    <xf numFmtId="0" fontId="36" fillId="0" borderId="0" applyNumberFormat="0" applyFill="0" applyBorder="0" applyAlignment="0" applyProtection="0"/>
    <xf numFmtId="164" fontId="1" fillId="0" borderId="0" applyFont="0" applyFill="0" applyBorder="0" applyAlignment="0" applyProtection="0"/>
  </cellStyleXfs>
  <cellXfs count="72">
    <xf numFmtId="0" fontId="0" fillId="0" borderId="0" xfId="0"/>
    <xf numFmtId="0" fontId="37" fillId="0" borderId="0" xfId="83" applyFont="1" applyFill="1" applyBorder="1" applyAlignment="1">
      <alignment vertical="center"/>
    </xf>
    <xf numFmtId="0" fontId="37" fillId="0" borderId="0" xfId="83" applyFont="1" applyBorder="1" applyAlignment="1">
      <alignment vertical="center"/>
    </xf>
    <xf numFmtId="0" fontId="37" fillId="24" borderId="0" xfId="0" applyFont="1" applyFill="1" applyBorder="1" applyAlignment="1">
      <alignment vertical="center"/>
    </xf>
    <xf numFmtId="166" fontId="41" fillId="0" borderId="10" xfId="78" applyNumberFormat="1" applyFont="1" applyBorder="1" applyAlignment="1">
      <alignment horizontal="right" vertical="center"/>
    </xf>
    <xf numFmtId="166" fontId="41" fillId="0" borderId="10" xfId="77" applyNumberFormat="1" applyFont="1" applyBorder="1" applyAlignment="1">
      <alignment horizontal="right" vertical="center"/>
    </xf>
    <xf numFmtId="166" fontId="37" fillId="0" borderId="0" xfId="77" applyNumberFormat="1" applyFont="1" applyBorder="1" applyAlignment="1">
      <alignment horizontal="left" vertical="center" indent="2"/>
    </xf>
    <xf numFmtId="166" fontId="37" fillId="0" borderId="0" xfId="77" applyNumberFormat="1" applyFont="1" applyBorder="1" applyAlignment="1">
      <alignment horizontal="left" vertical="center" indent="1"/>
    </xf>
    <xf numFmtId="166" fontId="37" fillId="0" borderId="0" xfId="77" applyNumberFormat="1" applyFont="1" applyBorder="1" applyAlignment="1">
      <alignment horizontal="right" vertical="center" indent="1"/>
    </xf>
    <xf numFmtId="165" fontId="37" fillId="0" borderId="10" xfId="0" applyNumberFormat="1" applyFont="1" applyBorder="1" applyAlignment="1">
      <alignment vertical="center"/>
    </xf>
    <xf numFmtId="165" fontId="37" fillId="0" borderId="0" xfId="0" applyNumberFormat="1" applyFont="1" applyBorder="1" applyAlignment="1">
      <alignment vertical="center"/>
    </xf>
    <xf numFmtId="165" fontId="37" fillId="0" borderId="0" xfId="0" applyNumberFormat="1" applyFont="1" applyFill="1" applyBorder="1" applyAlignment="1">
      <alignment vertical="center"/>
    </xf>
    <xf numFmtId="165" fontId="37" fillId="0" borderId="10" xfId="0" applyNumberFormat="1" applyFont="1" applyFill="1" applyBorder="1" applyAlignment="1">
      <alignment vertical="center"/>
    </xf>
    <xf numFmtId="166" fontId="37" fillId="0" borderId="0" xfId="77" applyNumberFormat="1" applyFont="1" applyFill="1" applyBorder="1" applyAlignment="1">
      <alignment horizontal="left" vertical="center" indent="1"/>
    </xf>
    <xf numFmtId="0" fontId="37" fillId="0" borderId="0" xfId="0" applyFont="1" applyBorder="1" applyAlignment="1">
      <alignment vertical="center"/>
    </xf>
    <xf numFmtId="0" fontId="37" fillId="0" borderId="0" xfId="83" applyFont="1" applyAlignment="1">
      <alignment vertical="center"/>
    </xf>
    <xf numFmtId="165" fontId="37" fillId="0" borderId="0" xfId="83" applyNumberFormat="1" applyFont="1" applyAlignment="1">
      <alignment vertical="center"/>
    </xf>
    <xf numFmtId="0" fontId="37" fillId="0" borderId="0" xfId="0" applyFont="1" applyFill="1" applyBorder="1" applyAlignment="1">
      <alignment vertical="center"/>
    </xf>
    <xf numFmtId="0" fontId="41" fillId="0" borderId="0" xfId="83" applyFont="1" applyFill="1" applyBorder="1" applyAlignment="1">
      <alignment horizontal="center" vertical="center"/>
    </xf>
    <xf numFmtId="0" fontId="37" fillId="0" borderId="0" xfId="0" applyFont="1" applyFill="1" applyBorder="1" applyAlignment="1">
      <alignment horizontal="center" vertical="center"/>
    </xf>
    <xf numFmtId="0" fontId="37" fillId="0" borderId="0" xfId="83" applyFont="1" applyFill="1" applyBorder="1" applyAlignment="1">
      <alignment horizontal="center" vertical="center"/>
    </xf>
    <xf numFmtId="166" fontId="37" fillId="0" borderId="0" xfId="77" applyNumberFormat="1" applyFont="1" applyFill="1" applyBorder="1" applyAlignment="1">
      <alignment vertical="center"/>
    </xf>
    <xf numFmtId="166" fontId="36" fillId="0" borderId="0" xfId="77" applyNumberFormat="1" applyFont="1" applyFill="1" applyBorder="1" applyAlignment="1">
      <alignment vertical="center"/>
    </xf>
    <xf numFmtId="0" fontId="37" fillId="0" borderId="0" xfId="0" applyFont="1" applyFill="1" applyBorder="1"/>
    <xf numFmtId="0" fontId="40" fillId="25" borderId="10" xfId="83" applyFont="1" applyFill="1" applyBorder="1" applyAlignment="1">
      <alignment horizontal="center" vertical="center"/>
    </xf>
    <xf numFmtId="0" fontId="41" fillId="0" borderId="10" xfId="78" applyNumberFormat="1" applyFont="1" applyBorder="1" applyAlignment="1">
      <alignment horizontal="left" vertical="center"/>
    </xf>
    <xf numFmtId="166" fontId="1" fillId="0" borderId="0" xfId="77" applyNumberFormat="1" applyFont="1" applyBorder="1" applyAlignment="1">
      <alignment horizontal="left" vertical="center" indent="2"/>
    </xf>
    <xf numFmtId="0" fontId="1" fillId="0" borderId="0" xfId="83" applyFont="1" applyFill="1" applyBorder="1" applyAlignment="1">
      <alignment vertical="center"/>
    </xf>
    <xf numFmtId="166" fontId="37" fillId="0" borderId="0" xfId="77" applyNumberFormat="1" applyFont="1" applyFill="1" applyBorder="1" applyAlignment="1">
      <alignment horizontal="right" vertical="center" indent="1"/>
    </xf>
    <xf numFmtId="166" fontId="1" fillId="0" borderId="0" xfId="77" applyNumberFormat="1" applyFont="1" applyFill="1" applyBorder="1" applyAlignment="1">
      <alignment horizontal="left" vertical="center" indent="1"/>
    </xf>
    <xf numFmtId="0" fontId="1" fillId="0" borderId="0" xfId="77" applyNumberFormat="1" applyFont="1" applyFill="1" applyBorder="1" applyAlignment="1">
      <alignment horizontal="left" vertical="center" indent="2"/>
    </xf>
    <xf numFmtId="0" fontId="37" fillId="24" borderId="12" xfId="83" applyFont="1" applyFill="1" applyBorder="1" applyAlignment="1">
      <alignment vertical="center"/>
    </xf>
    <xf numFmtId="166" fontId="41" fillId="0" borderId="10" xfId="77" applyNumberFormat="1" applyFont="1" applyFill="1" applyBorder="1" applyAlignment="1">
      <alignment horizontal="right" vertical="center"/>
    </xf>
    <xf numFmtId="166" fontId="1" fillId="0" borderId="0" xfId="77" applyNumberFormat="1" applyFont="1" applyFill="1" applyBorder="1" applyAlignment="1">
      <alignment horizontal="right" vertical="center" indent="1"/>
    </xf>
    <xf numFmtId="166" fontId="37" fillId="0" borderId="10" xfId="77" applyNumberFormat="1" applyFont="1" applyFill="1" applyBorder="1" applyAlignment="1">
      <alignment horizontal="right" vertical="center" indent="1"/>
    </xf>
    <xf numFmtId="0" fontId="2" fillId="0" borderId="0" xfId="0" applyFont="1" applyBorder="1" applyAlignment="1">
      <alignment horizontal="left" vertical="center" wrapText="1"/>
    </xf>
    <xf numFmtId="0" fontId="37" fillId="0" borderId="0" xfId="77" applyNumberFormat="1" applyFont="1" applyBorder="1" applyAlignment="1">
      <alignment horizontal="left" vertical="center"/>
    </xf>
    <xf numFmtId="0" fontId="1" fillId="0" borderId="0" xfId="0" applyFont="1" applyFill="1" applyBorder="1" applyAlignment="1">
      <alignment vertical="center"/>
    </xf>
    <xf numFmtId="166" fontId="41" fillId="0" borderId="11" xfId="78" applyNumberFormat="1" applyFont="1" applyBorder="1" applyAlignment="1">
      <alignment horizontal="right" vertical="center"/>
    </xf>
    <xf numFmtId="166" fontId="1" fillId="0" borderId="0" xfId="77" applyNumberFormat="1" applyFont="1" applyBorder="1" applyAlignment="1">
      <alignment vertical="center"/>
    </xf>
    <xf numFmtId="166" fontId="1" fillId="0" borderId="0" xfId="77" applyNumberFormat="1" applyFont="1" applyBorder="1" applyAlignment="1">
      <alignment horizontal="left" vertical="center" indent="1"/>
    </xf>
    <xf numFmtId="166" fontId="1" fillId="0" borderId="10" xfId="77" applyNumberFormat="1" applyFont="1" applyBorder="1" applyAlignment="1">
      <alignment vertical="center"/>
    </xf>
    <xf numFmtId="166" fontId="1" fillId="0" borderId="10" xfId="77" applyNumberFormat="1" applyFont="1" applyBorder="1" applyAlignment="1">
      <alignment horizontal="left" vertical="center"/>
    </xf>
    <xf numFmtId="165" fontId="1" fillId="0" borderId="10" xfId="0" applyNumberFormat="1" applyFont="1" applyBorder="1" applyAlignment="1">
      <alignment vertical="center"/>
    </xf>
    <xf numFmtId="166" fontId="1" fillId="0" borderId="0" xfId="77" applyNumberFormat="1" applyFont="1" applyBorder="1" applyAlignment="1">
      <alignment horizontal="left" vertical="center"/>
    </xf>
    <xf numFmtId="165" fontId="1" fillId="0" borderId="0" xfId="0" applyNumberFormat="1" applyFont="1" applyBorder="1" applyAlignment="1">
      <alignment vertical="center"/>
    </xf>
    <xf numFmtId="0" fontId="1" fillId="0" borderId="0" xfId="83" applyFont="1" applyAlignment="1">
      <alignment vertical="center"/>
    </xf>
    <xf numFmtId="0" fontId="2" fillId="0" borderId="0" xfId="0" applyFont="1" applyBorder="1" applyAlignment="1">
      <alignment horizontal="left" vertical="center" wrapText="1"/>
    </xf>
    <xf numFmtId="0" fontId="1" fillId="0" borderId="0" xfId="83" applyFont="1" applyBorder="1" applyAlignment="1">
      <alignment vertical="center"/>
    </xf>
    <xf numFmtId="0" fontId="1" fillId="24" borderId="0" xfId="0" applyFont="1" applyFill="1" applyBorder="1" applyAlignment="1">
      <alignment vertical="center"/>
    </xf>
    <xf numFmtId="0" fontId="1" fillId="24" borderId="12" xfId="83" applyFont="1" applyFill="1" applyBorder="1" applyAlignment="1">
      <alignment vertical="center"/>
    </xf>
    <xf numFmtId="174" fontId="41" fillId="26" borderId="0" xfId="99" applyNumberFormat="1" applyFont="1" applyFill="1" applyBorder="1" applyAlignment="1">
      <alignment horizontal="right" vertical="center"/>
    </xf>
    <xf numFmtId="174" fontId="41" fillId="27" borderId="13" xfId="77" applyNumberFormat="1" applyFont="1" applyFill="1" applyBorder="1" applyAlignment="1">
      <alignment vertical="center"/>
    </xf>
    <xf numFmtId="166" fontId="41" fillId="27" borderId="11" xfId="77" applyNumberFormat="1" applyFont="1" applyFill="1" applyBorder="1" applyAlignment="1">
      <alignment vertical="center"/>
    </xf>
    <xf numFmtId="166" fontId="41" fillId="27" borderId="14" xfId="77" applyNumberFormat="1" applyFont="1" applyFill="1" applyBorder="1" applyAlignment="1">
      <alignment vertical="center"/>
    </xf>
    <xf numFmtId="174" fontId="1" fillId="0" borderId="0" xfId="77" applyNumberFormat="1" applyFont="1" applyBorder="1" applyAlignment="1">
      <alignment horizontal="left" vertical="center" indent="1"/>
    </xf>
    <xf numFmtId="166" fontId="1" fillId="0" borderId="0" xfId="77" applyNumberFormat="1" applyFont="1" applyFill="1" applyBorder="1" applyAlignment="1">
      <alignment vertical="center"/>
    </xf>
    <xf numFmtId="166" fontId="1" fillId="0" borderId="0" xfId="99" applyNumberFormat="1" applyFont="1" applyBorder="1" applyAlignment="1">
      <alignment vertical="center"/>
    </xf>
    <xf numFmtId="166" fontId="1" fillId="0" borderId="0" xfId="0" applyNumberFormat="1" applyFont="1" applyFill="1" applyBorder="1"/>
    <xf numFmtId="0" fontId="45" fillId="0" borderId="0" xfId="83" applyFont="1" applyBorder="1" applyAlignment="1">
      <alignment horizontal="left" vertical="center"/>
    </xf>
    <xf numFmtId="0" fontId="38" fillId="24" borderId="0" xfId="82" applyFont="1" applyFill="1" applyBorder="1" applyAlignment="1">
      <alignment horizontal="left" vertical="center" wrapText="1"/>
    </xf>
    <xf numFmtId="0" fontId="39" fillId="24" borderId="12" xfId="83" applyFont="1" applyFill="1" applyBorder="1" applyAlignment="1">
      <alignment horizontal="left" vertical="center"/>
    </xf>
    <xf numFmtId="0" fontId="4" fillId="24" borderId="0" xfId="0" applyFont="1" applyFill="1" applyBorder="1" applyAlignment="1">
      <alignment horizontal="left" vertical="center"/>
    </xf>
    <xf numFmtId="0" fontId="2" fillId="0" borderId="0" xfId="0" applyFont="1" applyBorder="1" applyAlignment="1">
      <alignment horizontal="left" vertical="center" wrapText="1"/>
    </xf>
    <xf numFmtId="0" fontId="1" fillId="0" borderId="0" xfId="77" applyNumberFormat="1" applyFont="1" applyBorder="1" applyAlignment="1">
      <alignment horizontal="left" vertical="center"/>
    </xf>
    <xf numFmtId="0" fontId="37" fillId="0" borderId="0" xfId="77" applyNumberFormat="1" applyFont="1" applyBorder="1" applyAlignment="1">
      <alignment horizontal="left" vertical="center"/>
    </xf>
    <xf numFmtId="0" fontId="1" fillId="0" borderId="0" xfId="0" applyFont="1" applyAlignment="1">
      <alignment vertical="center"/>
    </xf>
    <xf numFmtId="0" fontId="1" fillId="0" borderId="0" xfId="0" applyFont="1" applyBorder="1" applyAlignment="1">
      <alignment horizontal="left" vertical="center" wrapText="1"/>
    </xf>
    <xf numFmtId="166" fontId="1" fillId="0" borderId="10" xfId="77" applyNumberFormat="1" applyFont="1" applyBorder="1" applyAlignment="1">
      <alignment horizontal="left" vertical="center" indent="2"/>
    </xf>
    <xf numFmtId="0" fontId="41" fillId="0" borderId="0" xfId="78" applyNumberFormat="1" applyFont="1" applyBorder="1" applyAlignment="1">
      <alignment horizontal="left" vertical="center"/>
    </xf>
    <xf numFmtId="166" fontId="41" fillId="0" borderId="0" xfId="77" applyNumberFormat="1" applyFont="1" applyBorder="1" applyAlignment="1">
      <alignment horizontal="right" vertical="center"/>
    </xf>
    <xf numFmtId="166" fontId="41" fillId="0" borderId="0" xfId="77" applyNumberFormat="1" applyFont="1" applyFill="1" applyBorder="1" applyAlignment="1">
      <alignment horizontal="right" vertical="center"/>
    </xf>
  </cellXfs>
  <cellStyles count="100">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2" xfId="8" builtinId="34" customBuiltin="1"/>
    <cellStyle name="20% - Énfasis3" xfId="9" builtinId="38" customBuiltin="1"/>
    <cellStyle name="20% - Énfasis4" xfId="10" builtinId="42" customBuiltin="1"/>
    <cellStyle name="20% - Énfasis5" xfId="11" builtinId="46" customBuiltin="1"/>
    <cellStyle name="20% - Énfasis6" xfId="12" builtinId="50" customBuiltin="1"/>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2" xfId="20" builtinId="35" customBuiltin="1"/>
    <cellStyle name="40% - Énfasis3" xfId="21" builtinId="39" customBuiltin="1"/>
    <cellStyle name="40% - Énfasis4" xfId="22" builtinId="43" customBuiltin="1"/>
    <cellStyle name="40% - Énfasis5" xfId="23" builtinId="47" customBuiltin="1"/>
    <cellStyle name="40% - Énfasis6" xfId="24" builtinId="51" customBuiltin="1"/>
    <cellStyle name="60% - Accent1" xfId="25"/>
    <cellStyle name="60% - Accent2" xfId="26"/>
    <cellStyle name="60% - Accent3" xfId="27"/>
    <cellStyle name="60% - Accent4" xfId="28"/>
    <cellStyle name="60% - Accent5" xfId="29"/>
    <cellStyle name="60% - Accent6" xfId="30"/>
    <cellStyle name="60% - Énfasis1" xfId="31" builtinId="32" customBuiltin="1"/>
    <cellStyle name="60% - Énfasis2" xfId="32" builtinId="36" customBuiltin="1"/>
    <cellStyle name="60% - Énfasis3" xfId="33" builtinId="40" customBuiltin="1"/>
    <cellStyle name="60% - Énfasis4" xfId="34" builtinId="44" customBuiltin="1"/>
    <cellStyle name="60% - Énfasis5" xfId="35" builtinId="48" customBuiltin="1"/>
    <cellStyle name="60% - Énfasis6" xfId="36" builtinId="52" customBuiltin="1"/>
    <cellStyle name="Accent1" xfId="37"/>
    <cellStyle name="Accent2" xfId="38"/>
    <cellStyle name="Accent3" xfId="39"/>
    <cellStyle name="Accent4" xfId="40"/>
    <cellStyle name="Accent5" xfId="41"/>
    <cellStyle name="Accent6" xfId="42"/>
    <cellStyle name="Bad" xfId="43"/>
    <cellStyle name="Bueno" xfId="44" builtinId="26" customBuiltin="1"/>
    <cellStyle name="Cabecera 1" xfId="45"/>
    <cellStyle name="Cabecera 2" xfId="46"/>
    <cellStyle name="Calculation" xfId="47"/>
    <cellStyle name="Cálculo" xfId="48" builtinId="22" customBuiltin="1"/>
    <cellStyle name="Celda de comprobación" xfId="49" builtinId="23" customBuiltin="1"/>
    <cellStyle name="Celda vinculada" xfId="50" builtinId="24" customBuiltin="1"/>
    <cellStyle name="Check Cell" xfId="51"/>
    <cellStyle name="Comma0" xfId="52"/>
    <cellStyle name="Currency0" xfId="53"/>
    <cellStyle name="Date" xfId="54"/>
    <cellStyle name="Encabezado 1" xfId="94" builtinId="16" customBuiltin="1"/>
    <cellStyle name="Encabezado 4" xfId="55" builtinId="19" customBuiltin="1"/>
    <cellStyle name="Énfasis1" xfId="56" builtinId="29" customBuiltin="1"/>
    <cellStyle name="Énfasis2" xfId="57" builtinId="33" customBuiltin="1"/>
    <cellStyle name="Énfasis3" xfId="58" builtinId="37" customBuiltin="1"/>
    <cellStyle name="Énfasis4" xfId="59" builtinId="41" customBuiltin="1"/>
    <cellStyle name="Énfasis5" xfId="60" builtinId="45" customBuiltin="1"/>
    <cellStyle name="Énfasis6" xfId="61" builtinId="49" customBuiltin="1"/>
    <cellStyle name="Entrada" xfId="62" builtinId="20" customBuiltin="1"/>
    <cellStyle name="ESTI1 - Modelo1" xfId="63"/>
    <cellStyle name="Euro" xfId="64"/>
    <cellStyle name="Explanatory Text" xfId="65"/>
    <cellStyle name="Fecha" xfId="66"/>
    <cellStyle name="Fijo" xfId="67"/>
    <cellStyle name="Fixed" xfId="68"/>
    <cellStyle name="Good" xfId="69"/>
    <cellStyle name="Heading 1" xfId="70"/>
    <cellStyle name="Heading 2" xfId="71"/>
    <cellStyle name="Heading 3" xfId="72"/>
    <cellStyle name="Heading 4" xfId="73"/>
    <cellStyle name="Incorrecto" xfId="74" builtinId="27" customBuiltin="1"/>
    <cellStyle name="Input" xfId="75"/>
    <cellStyle name="Linked Cell" xfId="76"/>
    <cellStyle name="Millares" xfId="77" builtinId="3"/>
    <cellStyle name="Millares 2" xfId="78"/>
    <cellStyle name="Millares 3" xfId="99"/>
    <cellStyle name="Monetario" xfId="79"/>
    <cellStyle name="Monetario0" xfId="80"/>
    <cellStyle name="Neutral" xfId="81" builtinId="28" customBuiltin="1"/>
    <cellStyle name="Normal" xfId="0" builtinId="0"/>
    <cellStyle name="Normal_C1 (2)" xfId="82"/>
    <cellStyle name="Normal_Cuadros tasas trimestrales" xfId="83"/>
    <cellStyle name="Notas" xfId="84" builtinId="10" customBuiltin="1"/>
    <cellStyle name="Note" xfId="85"/>
    <cellStyle name="Output" xfId="86"/>
    <cellStyle name="Punto" xfId="87"/>
    <cellStyle name="Punto0" xfId="88"/>
    <cellStyle name="Salida" xfId="89" builtinId="21" customBuiltin="1"/>
    <cellStyle name="Texto de advertencia" xfId="90" builtinId="11" customBuiltin="1"/>
    <cellStyle name="Texto explicativo" xfId="91" builtinId="53" customBuiltin="1"/>
    <cellStyle name="Title" xfId="92"/>
    <cellStyle name="Título" xfId="93" builtinId="15" customBuiltin="1"/>
    <cellStyle name="Título 2" xfId="95" builtinId="17" customBuiltin="1"/>
    <cellStyle name="Título 3" xfId="96" builtinId="18" customBuiltin="1"/>
    <cellStyle name="Total" xfId="97" builtinId="25" customBuiltin="1"/>
    <cellStyle name="Warning Text" xfId="9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2_DNRMT\ESTUDIOS\PROVI\GRAL\CUADROS\C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IDOR1_DNRMT\ESTUDIOS\PROVI\GRAL\CUADROS\C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 pre"/>
      <sheetName val="c3_ fto"/>
      <sheetName val="C3 Base Tran"/>
      <sheetName val="pbg pbgpc "/>
      <sheetName val="pbg1 pbg2 pbg3"/>
      <sheetName val="vab rem"/>
      <sheetName val="ex"/>
      <sheetName val="pre1_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 pre"/>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S68"/>
  <sheetViews>
    <sheetView showGridLines="0" tabSelected="1" topLeftCell="A27" zoomScale="70" zoomScaleNormal="70" workbookViewId="0">
      <selection activeCell="A50" sqref="A50"/>
    </sheetView>
  </sheetViews>
  <sheetFormatPr baseColWidth="10" defaultColWidth="12.26953125" defaultRowHeight="12.5" x14ac:dyDescent="0.25"/>
  <cols>
    <col min="1" max="1" width="64.54296875" style="15" customWidth="1"/>
    <col min="2" max="11" width="17" style="46" customWidth="1"/>
    <col min="12" max="41" width="17" style="15" customWidth="1"/>
    <col min="42" max="62" width="14.81640625" style="15" customWidth="1"/>
    <col min="63" max="63" width="14.81640625" style="46" customWidth="1"/>
    <col min="64" max="87" width="14.81640625" style="15" customWidth="1"/>
    <col min="88" max="88" width="14.81640625" style="46" customWidth="1"/>
    <col min="89" max="139" width="11.26953125" style="23" bestFit="1" customWidth="1"/>
    <col min="140" max="140" width="12.26953125" style="23" bestFit="1"/>
    <col min="141" max="16384" width="12.26953125" style="23"/>
  </cols>
  <sheetData>
    <row r="1" spans="1:88" s="1" customFormat="1" ht="22.5" customHeight="1" x14ac:dyDescent="0.25">
      <c r="A1" s="59" t="s">
        <v>0</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J1" s="2"/>
      <c r="AK1" s="2"/>
      <c r="AL1" s="2"/>
      <c r="AM1" s="2"/>
      <c r="AN1" s="2"/>
      <c r="AO1" s="2"/>
      <c r="AP1" s="2"/>
      <c r="AQ1" s="2"/>
      <c r="AR1" s="2"/>
      <c r="AS1" s="2"/>
      <c r="AT1" s="2"/>
      <c r="AU1" s="2"/>
      <c r="AV1" s="2"/>
      <c r="AW1" s="2"/>
      <c r="AX1" s="2"/>
      <c r="AY1" s="2"/>
      <c r="AZ1" s="2"/>
      <c r="BA1" s="2"/>
      <c r="BB1" s="2"/>
      <c r="BC1" s="2"/>
      <c r="BD1" s="2"/>
      <c r="BE1" s="2"/>
      <c r="BF1" s="2"/>
      <c r="BG1" s="2"/>
      <c r="BH1" s="2"/>
      <c r="BI1" s="2"/>
      <c r="BJ1" s="2"/>
      <c r="BK1" s="48"/>
      <c r="BL1" s="2"/>
      <c r="BM1" s="2"/>
      <c r="BN1" s="2"/>
      <c r="BO1" s="2"/>
      <c r="BP1" s="2"/>
      <c r="BQ1" s="2"/>
      <c r="BR1" s="2"/>
      <c r="BS1" s="2"/>
      <c r="BT1" s="2"/>
      <c r="BU1" s="2"/>
      <c r="BV1" s="2"/>
      <c r="BW1" s="2"/>
      <c r="BX1" s="2"/>
      <c r="BY1" s="2"/>
      <c r="BZ1" s="2"/>
      <c r="CA1" s="2"/>
      <c r="CB1" s="2"/>
      <c r="CC1" s="2"/>
      <c r="CD1" s="2"/>
      <c r="CE1" s="2"/>
      <c r="CF1" s="2"/>
      <c r="CG1" s="2"/>
      <c r="CH1" s="2"/>
      <c r="CI1" s="2"/>
      <c r="CJ1" s="48"/>
    </row>
    <row r="2" spans="1:88" s="17" customFormat="1" ht="45.75" customHeight="1" x14ac:dyDescent="0.25">
      <c r="A2" s="60" t="s">
        <v>8</v>
      </c>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49"/>
      <c r="BL2" s="3"/>
      <c r="BM2" s="3"/>
      <c r="BN2" s="3"/>
      <c r="BO2" s="3"/>
      <c r="BP2" s="3"/>
      <c r="BQ2" s="3"/>
      <c r="BR2" s="3"/>
      <c r="BS2" s="3"/>
      <c r="BT2" s="3"/>
      <c r="BU2" s="3"/>
      <c r="BV2" s="3"/>
      <c r="BW2" s="3"/>
      <c r="BX2" s="3"/>
      <c r="BY2" s="3"/>
      <c r="BZ2" s="3"/>
      <c r="CA2" s="3"/>
      <c r="CB2" s="3"/>
      <c r="CC2" s="3"/>
      <c r="CD2" s="3"/>
      <c r="CE2" s="3"/>
      <c r="CF2" s="3"/>
      <c r="CG2" s="3"/>
      <c r="CH2" s="3"/>
      <c r="CI2" s="3"/>
      <c r="CJ2" s="49"/>
    </row>
    <row r="3" spans="1:88" s="1" customFormat="1" ht="24" customHeight="1" x14ac:dyDescent="0.25">
      <c r="A3" s="61" t="s">
        <v>2</v>
      </c>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50"/>
      <c r="BL3" s="31"/>
      <c r="BM3" s="31"/>
      <c r="BN3" s="31"/>
      <c r="BO3" s="31"/>
      <c r="BP3" s="31"/>
      <c r="BQ3" s="31"/>
      <c r="BR3" s="31"/>
      <c r="BS3" s="31"/>
      <c r="BT3" s="31"/>
      <c r="BU3" s="31"/>
      <c r="BV3" s="31"/>
      <c r="BW3" s="31"/>
      <c r="BX3" s="31"/>
      <c r="BY3" s="31"/>
      <c r="BZ3" s="31"/>
      <c r="CA3" s="31"/>
      <c r="CB3" s="31"/>
      <c r="CC3" s="31"/>
      <c r="CD3" s="31"/>
      <c r="CE3" s="31"/>
      <c r="CF3" s="31"/>
      <c r="CG3" s="31"/>
      <c r="CH3" s="31"/>
      <c r="CI3" s="31"/>
      <c r="CJ3" s="50"/>
    </row>
    <row r="4" spans="1:88" s="18" customFormat="1" ht="30" customHeight="1" thickBot="1" x14ac:dyDescent="0.3">
      <c r="A4" s="24" t="s">
        <v>12</v>
      </c>
      <c r="B4" s="24" t="s">
        <v>13</v>
      </c>
      <c r="C4" s="24" t="s">
        <v>14</v>
      </c>
      <c r="D4" s="24" t="s">
        <v>15</v>
      </c>
      <c r="E4" s="24" t="s">
        <v>16</v>
      </c>
      <c r="F4" s="24" t="s">
        <v>17</v>
      </c>
      <c r="G4" s="24" t="s">
        <v>18</v>
      </c>
      <c r="H4" s="24" t="s">
        <v>19</v>
      </c>
      <c r="I4" s="24" t="s">
        <v>20</v>
      </c>
      <c r="J4" s="24" t="s">
        <v>21</v>
      </c>
      <c r="K4" s="24" t="s">
        <v>22</v>
      </c>
      <c r="L4" s="24" t="s">
        <v>23</v>
      </c>
      <c r="M4" s="24" t="s">
        <v>24</v>
      </c>
      <c r="N4" s="24" t="s">
        <v>25</v>
      </c>
      <c r="O4" s="24" t="s">
        <v>26</v>
      </c>
      <c r="P4" s="24" t="s">
        <v>27</v>
      </c>
      <c r="Q4" s="24" t="s">
        <v>28</v>
      </c>
      <c r="R4" s="24" t="s">
        <v>29</v>
      </c>
      <c r="S4" s="24" t="s">
        <v>30</v>
      </c>
      <c r="T4" s="24" t="s">
        <v>31</v>
      </c>
      <c r="U4" s="24" t="s">
        <v>32</v>
      </c>
      <c r="V4" s="24" t="s">
        <v>33</v>
      </c>
      <c r="W4" s="24" t="s">
        <v>34</v>
      </c>
      <c r="X4" s="24" t="s">
        <v>35</v>
      </c>
      <c r="Y4" s="24" t="s">
        <v>36</v>
      </c>
      <c r="Z4" s="24" t="s">
        <v>37</v>
      </c>
      <c r="AA4" s="24" t="s">
        <v>38</v>
      </c>
      <c r="AB4" s="24" t="s">
        <v>39</v>
      </c>
      <c r="AC4" s="24" t="s">
        <v>40</v>
      </c>
      <c r="AD4" s="24" t="s">
        <v>41</v>
      </c>
      <c r="AE4" s="24" t="s">
        <v>42</v>
      </c>
      <c r="AF4" s="24" t="s">
        <v>43</v>
      </c>
      <c r="AG4" s="24" t="s">
        <v>44</v>
      </c>
      <c r="AH4" s="24" t="s">
        <v>45</v>
      </c>
      <c r="AI4" s="24" t="s">
        <v>46</v>
      </c>
      <c r="AJ4" s="24" t="s">
        <v>47</v>
      </c>
      <c r="AK4" s="24" t="s">
        <v>48</v>
      </c>
      <c r="AL4" s="24" t="s">
        <v>49</v>
      </c>
      <c r="AM4" s="24" t="s">
        <v>50</v>
      </c>
      <c r="AN4" s="24" t="s">
        <v>51</v>
      </c>
      <c r="AO4" s="24" t="s">
        <v>52</v>
      </c>
      <c r="AP4" s="24" t="s">
        <v>53</v>
      </c>
      <c r="AQ4" s="24" t="s">
        <v>54</v>
      </c>
      <c r="AR4" s="24" t="s">
        <v>55</v>
      </c>
      <c r="AS4" s="24" t="s">
        <v>56</v>
      </c>
      <c r="AT4" s="24" t="s">
        <v>57</v>
      </c>
      <c r="AU4" s="24" t="s">
        <v>58</v>
      </c>
      <c r="AV4" s="24" t="s">
        <v>59</v>
      </c>
      <c r="AW4" s="24" t="s">
        <v>60</v>
      </c>
      <c r="AX4" s="24" t="s">
        <v>61</v>
      </c>
      <c r="AY4" s="24" t="s">
        <v>62</v>
      </c>
      <c r="AZ4" s="24" t="s">
        <v>63</v>
      </c>
      <c r="BA4" s="24" t="s">
        <v>64</v>
      </c>
      <c r="BB4" s="24" t="s">
        <v>65</v>
      </c>
      <c r="BC4" s="24" t="s">
        <v>66</v>
      </c>
      <c r="BD4" s="24" t="s">
        <v>67</v>
      </c>
      <c r="BE4" s="24" t="s">
        <v>68</v>
      </c>
      <c r="BF4" s="24" t="s">
        <v>69</v>
      </c>
      <c r="BG4" s="24" t="s">
        <v>70</v>
      </c>
      <c r="BH4" s="24" t="s">
        <v>71</v>
      </c>
      <c r="BI4" s="24" t="s">
        <v>72</v>
      </c>
      <c r="BJ4" s="24" t="s">
        <v>73</v>
      </c>
      <c r="BK4" s="24" t="s">
        <v>74</v>
      </c>
      <c r="BL4" s="24" t="s">
        <v>75</v>
      </c>
      <c r="BM4" s="24" t="s">
        <v>76</v>
      </c>
      <c r="BN4" s="24" t="s">
        <v>77</v>
      </c>
      <c r="BO4" s="24" t="s">
        <v>78</v>
      </c>
      <c r="BP4" s="24" t="s">
        <v>79</v>
      </c>
      <c r="BQ4" s="24" t="s">
        <v>80</v>
      </c>
      <c r="BR4" s="24" t="s">
        <v>81</v>
      </c>
      <c r="BS4" s="24" t="s">
        <v>82</v>
      </c>
      <c r="BT4" s="24" t="s">
        <v>83</v>
      </c>
      <c r="BU4" s="24" t="s">
        <v>84</v>
      </c>
      <c r="BV4" s="24" t="s">
        <v>85</v>
      </c>
      <c r="BW4" s="24" t="s">
        <v>86</v>
      </c>
      <c r="BX4" s="24" t="s">
        <v>87</v>
      </c>
      <c r="BY4" s="24" t="s">
        <v>88</v>
      </c>
      <c r="BZ4" s="24" t="s">
        <v>89</v>
      </c>
      <c r="CA4" s="24" t="s">
        <v>90</v>
      </c>
      <c r="CB4" s="24" t="s">
        <v>91</v>
      </c>
      <c r="CC4" s="24" t="s">
        <v>92</v>
      </c>
      <c r="CD4" s="24" t="s">
        <v>93</v>
      </c>
      <c r="CE4" s="24" t="s">
        <v>94</v>
      </c>
      <c r="CF4" s="24" t="s">
        <v>95</v>
      </c>
      <c r="CG4" s="24" t="s">
        <v>96</v>
      </c>
      <c r="CH4" s="24" t="s">
        <v>97</v>
      </c>
      <c r="CI4" s="24" t="s">
        <v>98</v>
      </c>
      <c r="CJ4" s="24" t="s">
        <v>99</v>
      </c>
    </row>
    <row r="5" spans="1:88" s="21" customFormat="1" ht="30" customHeight="1" thickBot="1" x14ac:dyDescent="0.3">
      <c r="A5" s="52" t="s">
        <v>100</v>
      </c>
      <c r="B5" s="53">
        <f>+AVERAGE(B6:B7)</f>
        <v>48.780055642983925</v>
      </c>
      <c r="C5" s="53">
        <f t="shared" ref="C5:BN5" si="0">+AVERAGE(C6:C7)</f>
        <v>48.876005867323876</v>
      </c>
      <c r="D5" s="53">
        <f t="shared" si="0"/>
        <v>47.755363113476619</v>
      </c>
      <c r="E5" s="53">
        <f t="shared" si="0"/>
        <v>47.522034685046421</v>
      </c>
      <c r="F5" s="53">
        <f t="shared" si="0"/>
        <v>47.361421334864474</v>
      </c>
      <c r="G5" s="53">
        <f t="shared" si="0"/>
        <v>48.544563782944692</v>
      </c>
      <c r="H5" s="53">
        <f t="shared" si="0"/>
        <v>46.951742234384284</v>
      </c>
      <c r="I5" s="53">
        <f t="shared" si="0"/>
        <v>46.829999826734436</v>
      </c>
      <c r="J5" s="53">
        <f t="shared" si="0"/>
        <v>45.849702621572433</v>
      </c>
      <c r="K5" s="53">
        <f t="shared" si="0"/>
        <v>45.179403701461197</v>
      </c>
      <c r="L5" s="53">
        <f t="shared" si="0"/>
        <v>43.794947104293328</v>
      </c>
      <c r="M5" s="53">
        <f t="shared" si="0"/>
        <v>43.253368453994881</v>
      </c>
      <c r="N5" s="53">
        <f t="shared" si="0"/>
        <v>42.334703283873509</v>
      </c>
      <c r="O5" s="53">
        <f t="shared" si="0"/>
        <v>42.390646660519714</v>
      </c>
      <c r="P5" s="53">
        <f t="shared" si="0"/>
        <v>40.916663971253747</v>
      </c>
      <c r="Q5" s="53">
        <f t="shared" si="0"/>
        <v>40.191743956183757</v>
      </c>
      <c r="R5" s="53">
        <f t="shared" si="0"/>
        <v>39.762494631863227</v>
      </c>
      <c r="S5" s="53">
        <f t="shared" si="0"/>
        <v>39.333245307542711</v>
      </c>
      <c r="T5" s="53">
        <f t="shared" si="0"/>
        <v>36.895778244806721</v>
      </c>
      <c r="U5" s="53">
        <f t="shared" si="0"/>
        <v>35.996271922825898</v>
      </c>
      <c r="V5" s="53">
        <f t="shared" si="0"/>
        <v>36.434313525124594</v>
      </c>
      <c r="W5" s="53">
        <f t="shared" si="0"/>
        <v>37.434547418684538</v>
      </c>
      <c r="X5" s="53">
        <f t="shared" si="0"/>
        <v>35.567033552165114</v>
      </c>
      <c r="Y5" s="53">
        <f t="shared" si="0"/>
        <v>35.573324088435982</v>
      </c>
      <c r="Z5" s="53">
        <f t="shared" si="0"/>
        <v>35.788496105132893</v>
      </c>
      <c r="AA5" s="53">
        <f t="shared" si="0"/>
        <v>35.82095165030465</v>
      </c>
      <c r="AB5" s="53">
        <f t="shared" si="0"/>
        <v>34.510483046197521</v>
      </c>
      <c r="AC5" s="53">
        <f t="shared" si="0"/>
        <v>36.547358050966679</v>
      </c>
      <c r="AD5" s="53">
        <f t="shared" si="0"/>
        <v>35.767179886558992</v>
      </c>
      <c r="AE5" s="53">
        <f t="shared" si="0"/>
        <v>33.713696373662827</v>
      </c>
      <c r="AF5" s="53">
        <f t="shared" si="0"/>
        <v>33.999703453301905</v>
      </c>
      <c r="AG5" s="53">
        <f t="shared" si="0"/>
        <v>34.564500694482057</v>
      </c>
      <c r="AH5" s="53">
        <f t="shared" si="0"/>
        <v>34.410165216536804</v>
      </c>
      <c r="AI5" s="53">
        <f t="shared" si="0"/>
        <v>34.220328496235055</v>
      </c>
      <c r="AJ5" s="53">
        <f t="shared" si="0"/>
        <v>32.815100556720779</v>
      </c>
      <c r="AK5" s="53">
        <f t="shared" si="0"/>
        <v>34.107986362040577</v>
      </c>
      <c r="AL5" s="53">
        <f t="shared" si="0"/>
        <v>35.025824194679728</v>
      </c>
      <c r="AM5" s="53">
        <f t="shared" si="0"/>
        <v>34.476983366242955</v>
      </c>
      <c r="AN5" s="53">
        <f t="shared" si="0"/>
        <v>31.9</v>
      </c>
      <c r="AO5" s="53">
        <f t="shared" si="0"/>
        <v>34.337950900000003</v>
      </c>
      <c r="AP5" s="53">
        <f t="shared" si="0"/>
        <v>34.626493338411677</v>
      </c>
      <c r="AQ5" s="53">
        <f t="shared" si="0"/>
        <v>33.199363676146163</v>
      </c>
      <c r="AR5" s="53">
        <f t="shared" si="0"/>
        <v>32.711843527666254</v>
      </c>
      <c r="AS5" s="53">
        <f t="shared" si="0"/>
        <v>33.211298850037188</v>
      </c>
      <c r="AT5" s="53">
        <f t="shared" si="0"/>
        <v>33.535738395476699</v>
      </c>
      <c r="AU5" s="53">
        <f t="shared" si="0"/>
        <v>34.157770263118294</v>
      </c>
      <c r="AV5" s="53">
        <f t="shared" si="0"/>
        <v>31.767137569550776</v>
      </c>
      <c r="AW5" s="53">
        <f t="shared" si="0"/>
        <v>32.880134575869725</v>
      </c>
      <c r="AX5" s="53">
        <f t="shared" si="0"/>
        <v>32.845349533438053</v>
      </c>
      <c r="AY5" s="53">
        <f t="shared" si="0"/>
        <v>32.827957012222214</v>
      </c>
      <c r="AZ5" s="53">
        <f t="shared" si="0"/>
        <v>32.819260751614294</v>
      </c>
      <c r="BA5" s="53">
        <f t="shared" si="0"/>
        <v>32.810564491006375</v>
      </c>
      <c r="BB5" s="53">
        <f t="shared" si="0"/>
        <v>33.58366212584064</v>
      </c>
      <c r="BC5" s="53">
        <f t="shared" si="0"/>
        <v>33.459738394691257</v>
      </c>
      <c r="BD5" s="53">
        <f t="shared" si="0"/>
        <v>33.220178836531346</v>
      </c>
      <c r="BE5" s="53">
        <f t="shared" si="0"/>
        <v>33.785036444227529</v>
      </c>
      <c r="BF5" s="53">
        <f t="shared" si="0"/>
        <v>34.353521819119557</v>
      </c>
      <c r="BG5" s="53">
        <f t="shared" si="0"/>
        <v>34.170061151665649</v>
      </c>
      <c r="BH5" s="53">
        <f t="shared" si="0"/>
        <v>33.094145932384016</v>
      </c>
      <c r="BI5" s="53">
        <f t="shared" si="0"/>
        <v>34.29103524122803</v>
      </c>
      <c r="BJ5" s="53">
        <f t="shared" si="0"/>
        <v>34.408451276041006</v>
      </c>
      <c r="BK5" s="53">
        <f t="shared" si="0"/>
        <v>35.34344608498008</v>
      </c>
      <c r="BL5" s="53">
        <f t="shared" si="0"/>
        <v>35.069502961310775</v>
      </c>
      <c r="BM5" s="53">
        <f t="shared" si="0"/>
        <v>34.371686477063641</v>
      </c>
      <c r="BN5" s="53">
        <f t="shared" si="0"/>
        <v>34.927903419076252</v>
      </c>
      <c r="BO5" s="53">
        <f t="shared" ref="BO5:CI5" si="1">+AVERAGE(BO6:BO7)</f>
        <v>35.833173453860269</v>
      </c>
      <c r="BP5" s="53">
        <f t="shared" si="1"/>
        <v>35.685809354260762</v>
      </c>
      <c r="BQ5" s="53">
        <f t="shared" si="1"/>
        <v>23.787971185871591</v>
      </c>
      <c r="BR5" s="53">
        <f t="shared" si="1"/>
        <v>28.607895395491703</v>
      </c>
      <c r="BS5" s="53">
        <f t="shared" si="1"/>
        <v>32.573403728349547</v>
      </c>
      <c r="BT5" s="53">
        <f t="shared" si="1"/>
        <v>32.304941337062402</v>
      </c>
      <c r="BU5" s="53">
        <f t="shared" si="1"/>
        <v>30.676548205435473</v>
      </c>
      <c r="BV5" s="53">
        <f t="shared" si="1"/>
        <v>33.168574743776787</v>
      </c>
      <c r="BW5" s="53">
        <f t="shared" si="1"/>
        <v>33.323293986634567</v>
      </c>
      <c r="BX5" s="53">
        <f t="shared" si="1"/>
        <v>35.963224437066032</v>
      </c>
      <c r="BY5" s="53">
        <f t="shared" si="1"/>
        <v>37.70521809149318</v>
      </c>
      <c r="BZ5" s="53">
        <f t="shared" si="1"/>
        <v>37.279666476634702</v>
      </c>
      <c r="CA5" s="53">
        <f t="shared" si="1"/>
        <v>35.475254684610746</v>
      </c>
      <c r="CB5" s="53">
        <f t="shared" si="1"/>
        <v>36.642467077100065</v>
      </c>
      <c r="CC5" s="53">
        <f t="shared" si="1"/>
        <v>36.79298061025024</v>
      </c>
      <c r="CD5" s="53">
        <f t="shared" si="1"/>
        <v>35.67983737397843</v>
      </c>
      <c r="CE5" s="53">
        <f t="shared" si="1"/>
        <v>35.583009544788538</v>
      </c>
      <c r="CF5" s="53">
        <f t="shared" si="1"/>
        <v>35.434314980699533</v>
      </c>
      <c r="CG5" s="53">
        <f t="shared" si="1"/>
        <v>36.273167890499607</v>
      </c>
      <c r="CH5" s="53">
        <f t="shared" si="1"/>
        <v>36.655022501908419</v>
      </c>
      <c r="CI5" s="53">
        <f t="shared" si="1"/>
        <v>36.041181936173118</v>
      </c>
      <c r="CJ5" s="54">
        <f>+AVERAGE(CJ6:CJ7)</f>
        <v>36.049999999999997</v>
      </c>
    </row>
    <row r="6" spans="1:88" s="21" customFormat="1" ht="18" customHeight="1" x14ac:dyDescent="0.25">
      <c r="A6" s="55" t="s">
        <v>101</v>
      </c>
      <c r="B6" s="39">
        <v>43.570649663381872</v>
      </c>
      <c r="C6" s="39">
        <v>43.430881265171323</v>
      </c>
      <c r="D6" s="39">
        <v>42.933344804594242</v>
      </c>
      <c r="E6" s="39">
        <v>42.068447771409708</v>
      </c>
      <c r="F6" s="39">
        <v>42.358083476821605</v>
      </c>
      <c r="G6" s="39">
        <v>43.240254382958334</v>
      </c>
      <c r="H6" s="39">
        <v>41.269331711621874</v>
      </c>
      <c r="I6" s="39">
        <v>40.750990306763462</v>
      </c>
      <c r="J6" s="39">
        <v>41.293130367588354</v>
      </c>
      <c r="K6" s="39">
        <v>40.733939536037632</v>
      </c>
      <c r="L6" s="39">
        <v>37.88138678079774</v>
      </c>
      <c r="M6" s="39">
        <v>38.348470757886467</v>
      </c>
      <c r="N6" s="39">
        <v>37.836842033534232</v>
      </c>
      <c r="O6" s="39">
        <v>37.670470252173111</v>
      </c>
      <c r="P6" s="39">
        <v>35.635785182884668</v>
      </c>
      <c r="Q6" s="39">
        <v>35.755902541632757</v>
      </c>
      <c r="R6" s="51">
        <f t="shared" ref="R6:R7" si="2">+(Q6+S6)/2</f>
        <v>34.665221226924459</v>
      </c>
      <c r="S6" s="39">
        <v>33.574539912216167</v>
      </c>
      <c r="T6" s="39">
        <v>32.116933827319102</v>
      </c>
      <c r="U6" s="39">
        <v>32.354087404923625</v>
      </c>
      <c r="V6" s="39">
        <v>31.208461944154365</v>
      </c>
      <c r="W6" s="39">
        <v>33.055736991073367</v>
      </c>
      <c r="X6" s="39">
        <v>31.709328217750439</v>
      </c>
      <c r="Y6" s="39">
        <v>31.842979489291217</v>
      </c>
      <c r="Z6" s="39">
        <v>32.103159488684923</v>
      </c>
      <c r="AA6" s="39">
        <v>32.989038996499112</v>
      </c>
      <c r="AB6" s="39">
        <v>31.105481056987639</v>
      </c>
      <c r="AC6" s="39">
        <v>32.451667599371454</v>
      </c>
      <c r="AD6" s="39">
        <v>31.457902068623007</v>
      </c>
      <c r="AE6" s="39">
        <v>31.044412033722452</v>
      </c>
      <c r="AF6" s="39">
        <v>31.19095190038562</v>
      </c>
      <c r="AG6" s="39">
        <v>30.436817611750094</v>
      </c>
      <c r="AH6" s="39">
        <v>29.956327215240009</v>
      </c>
      <c r="AI6" s="39">
        <v>30.699226829899573</v>
      </c>
      <c r="AJ6" s="39">
        <v>29.982843019183953</v>
      </c>
      <c r="AK6" s="39">
        <v>30.594972136708282</v>
      </c>
      <c r="AL6" s="39">
        <v>31.587285131528802</v>
      </c>
      <c r="AM6" s="39">
        <v>31.608943492183723</v>
      </c>
      <c r="AN6" s="39">
        <v>29</v>
      </c>
      <c r="AO6" s="39">
        <v>32.349776900000002</v>
      </c>
      <c r="AP6" s="39">
        <v>32.227833717437782</v>
      </c>
      <c r="AQ6" s="39">
        <v>31.793711422221264</v>
      </c>
      <c r="AR6" s="39">
        <v>30.417724038360848</v>
      </c>
      <c r="AS6" s="39">
        <v>29.859717852239619</v>
      </c>
      <c r="AT6" s="39">
        <v>30.950121848584804</v>
      </c>
      <c r="AU6" s="39">
        <v>32.24422903679757</v>
      </c>
      <c r="AV6" s="39">
        <v>29.716637452833044</v>
      </c>
      <c r="AW6" s="39">
        <v>30.878182462805427</v>
      </c>
      <c r="AX6" s="51">
        <f t="shared" ref="AX6:AX7" si="3">+(AW6+BA6)/2</f>
        <v>31.16286770415298</v>
      </c>
      <c r="AY6" s="51">
        <f t="shared" ref="AY6:AY7" si="4">+(AX6+BA6)/2</f>
        <v>31.305210324826756</v>
      </c>
      <c r="AZ6" s="51">
        <f t="shared" ref="AZ6:AZ7" si="5">+(AY6+BA6)/2</f>
        <v>31.376381635163646</v>
      </c>
      <c r="BA6" s="56">
        <v>31.447552945500533</v>
      </c>
      <c r="BB6" s="39">
        <v>31.120669051053767</v>
      </c>
      <c r="BC6" s="39">
        <v>30.992828402392171</v>
      </c>
      <c r="BD6" s="39">
        <v>31.553889903194587</v>
      </c>
      <c r="BE6" s="39">
        <v>31.482333180027595</v>
      </c>
      <c r="BF6" s="39">
        <v>32.403721193669384</v>
      </c>
      <c r="BG6" s="39">
        <v>31.842344819699658</v>
      </c>
      <c r="BH6" s="39">
        <v>30.852203494831937</v>
      </c>
      <c r="BI6" s="39">
        <v>31.559155596285322</v>
      </c>
      <c r="BJ6" s="39">
        <v>31.855243856244229</v>
      </c>
      <c r="BK6" s="39">
        <v>32.662213740458014</v>
      </c>
      <c r="BL6" s="39">
        <v>32.225812981546717</v>
      </c>
      <c r="BM6" s="39">
        <v>32.88269015969928</v>
      </c>
      <c r="BN6" s="39">
        <v>33.932334880207776</v>
      </c>
      <c r="BO6" s="39">
        <v>33.646473645075559</v>
      </c>
      <c r="BP6" s="39">
        <v>33.998942991860282</v>
      </c>
      <c r="BQ6" s="39">
        <v>22.328706080390205</v>
      </c>
      <c r="BR6" s="39">
        <v>28.083880278754492</v>
      </c>
      <c r="BS6" s="39">
        <v>32.277505458758519</v>
      </c>
      <c r="BT6" s="39">
        <v>31.331850860249382</v>
      </c>
      <c r="BU6" s="39">
        <v>28.838516629142074</v>
      </c>
      <c r="BV6" s="39">
        <v>30.424437946955724</v>
      </c>
      <c r="BW6" s="39">
        <v>31.083997623242816</v>
      </c>
      <c r="BX6" s="39">
        <v>33.83333923189582</v>
      </c>
      <c r="BY6" s="39">
        <v>36.378174762725621</v>
      </c>
      <c r="BZ6" s="39">
        <v>35.423962602643797</v>
      </c>
      <c r="CA6" s="39">
        <v>33.357687153094737</v>
      </c>
      <c r="CB6" s="39">
        <v>34.182218211156872</v>
      </c>
      <c r="CC6" s="39">
        <v>35.971909529973715</v>
      </c>
      <c r="CD6" s="39">
        <v>34.194689238474965</v>
      </c>
      <c r="CE6" s="39">
        <v>34.096557575953092</v>
      </c>
      <c r="CF6" s="39">
        <v>33.936452023237884</v>
      </c>
      <c r="CG6" s="39">
        <v>33.823329700554908</v>
      </c>
      <c r="CH6" s="39">
        <v>34.734409617670075</v>
      </c>
      <c r="CI6" s="39">
        <v>33.881463802249087</v>
      </c>
      <c r="CJ6" s="39">
        <v>34.6</v>
      </c>
    </row>
    <row r="7" spans="1:88" s="21" customFormat="1" ht="18" customHeight="1" thickBot="1" x14ac:dyDescent="0.3">
      <c r="A7" s="55" t="s">
        <v>102</v>
      </c>
      <c r="B7" s="39">
        <v>53.989461622585985</v>
      </c>
      <c r="C7" s="39">
        <v>54.321130469476429</v>
      </c>
      <c r="D7" s="39">
        <v>52.577381422359004</v>
      </c>
      <c r="E7" s="39">
        <v>52.975621598683134</v>
      </c>
      <c r="F7" s="39">
        <v>52.36475919290735</v>
      </c>
      <c r="G7" s="39">
        <v>53.848873182931058</v>
      </c>
      <c r="H7" s="39">
        <v>52.634152757146694</v>
      </c>
      <c r="I7" s="39">
        <v>52.909009346705403</v>
      </c>
      <c r="J7" s="39">
        <v>50.40627487555652</v>
      </c>
      <c r="K7" s="39">
        <v>49.624867866884756</v>
      </c>
      <c r="L7" s="39">
        <v>49.708507427788916</v>
      </c>
      <c r="M7" s="39">
        <v>48.158266150103287</v>
      </c>
      <c r="N7" s="39">
        <v>46.832564534212779</v>
      </c>
      <c r="O7" s="39">
        <v>47.110823068866317</v>
      </c>
      <c r="P7" s="39">
        <v>46.197542759622827</v>
      </c>
      <c r="Q7" s="39">
        <v>44.627585370734749</v>
      </c>
      <c r="R7" s="51">
        <f t="shared" si="2"/>
        <v>44.859768036801995</v>
      </c>
      <c r="S7" s="39">
        <v>45.091950702869248</v>
      </c>
      <c r="T7" s="39">
        <v>41.674622662294333</v>
      </c>
      <c r="U7" s="39">
        <v>39.63845644072817</v>
      </c>
      <c r="V7" s="39">
        <v>41.660165106094816</v>
      </c>
      <c r="W7" s="39">
        <v>41.813357846295709</v>
      </c>
      <c r="X7" s="39">
        <v>39.424738886579796</v>
      </c>
      <c r="Y7" s="39">
        <v>39.303668687580739</v>
      </c>
      <c r="Z7" s="39">
        <v>39.47383272158087</v>
      </c>
      <c r="AA7" s="39">
        <v>38.652864304110182</v>
      </c>
      <c r="AB7" s="39">
        <v>37.915485035407407</v>
      </c>
      <c r="AC7" s="39">
        <v>40.643048502561911</v>
      </c>
      <c r="AD7" s="39">
        <v>40.076457704494985</v>
      </c>
      <c r="AE7" s="39">
        <v>36.382980713603203</v>
      </c>
      <c r="AF7" s="39">
        <v>36.808455006218182</v>
      </c>
      <c r="AG7" s="39">
        <v>38.692183777214019</v>
      </c>
      <c r="AH7" s="39">
        <v>38.864003217833599</v>
      </c>
      <c r="AI7" s="39">
        <v>37.741430162570545</v>
      </c>
      <c r="AJ7" s="39">
        <v>35.647358094257598</v>
      </c>
      <c r="AK7" s="39">
        <v>37.621000587372876</v>
      </c>
      <c r="AL7" s="39">
        <v>38.464363257830655</v>
      </c>
      <c r="AM7" s="39">
        <v>37.345023240302183</v>
      </c>
      <c r="AN7" s="39">
        <v>34.799999999999997</v>
      </c>
      <c r="AO7" s="39">
        <v>36.326124900000003</v>
      </c>
      <c r="AP7" s="39">
        <v>37.025152959385579</v>
      </c>
      <c r="AQ7" s="39">
        <v>34.605015930071069</v>
      </c>
      <c r="AR7" s="39">
        <v>35.005963016971663</v>
      </c>
      <c r="AS7" s="39">
        <v>36.562879847834758</v>
      </c>
      <c r="AT7" s="39">
        <v>36.121354942368598</v>
      </c>
      <c r="AU7" s="39">
        <v>36.071311489439019</v>
      </c>
      <c r="AV7" s="39">
        <v>33.817637686268505</v>
      </c>
      <c r="AW7" s="39">
        <v>34.882086688934024</v>
      </c>
      <c r="AX7" s="51">
        <f t="shared" si="3"/>
        <v>34.52783136272312</v>
      </c>
      <c r="AY7" s="51">
        <f t="shared" si="4"/>
        <v>34.350703699617668</v>
      </c>
      <c r="AZ7" s="51">
        <f t="shared" si="5"/>
        <v>34.262139868064942</v>
      </c>
      <c r="BA7" s="56">
        <v>34.173576036512216</v>
      </c>
      <c r="BB7" s="39">
        <v>36.046655200627512</v>
      </c>
      <c r="BC7" s="39">
        <v>35.926648386990344</v>
      </c>
      <c r="BD7" s="39">
        <v>34.886467769868105</v>
      </c>
      <c r="BE7" s="39">
        <v>36.08773970842747</v>
      </c>
      <c r="BF7" s="39">
        <v>36.30332244456973</v>
      </c>
      <c r="BG7" s="39">
        <v>36.497777483631644</v>
      </c>
      <c r="BH7" s="39">
        <v>35.3360883699361</v>
      </c>
      <c r="BI7" s="39">
        <v>37.022914886170746</v>
      </c>
      <c r="BJ7" s="39">
        <v>36.961658695837777</v>
      </c>
      <c r="BK7" s="39">
        <v>38.024678429502146</v>
      </c>
      <c r="BL7" s="39">
        <v>37.913192941074833</v>
      </c>
      <c r="BM7" s="39">
        <v>35.860682794428001</v>
      </c>
      <c r="BN7" s="39">
        <v>35.923471957944727</v>
      </c>
      <c r="BO7" s="39">
        <v>38.019873262644971</v>
      </c>
      <c r="BP7" s="39">
        <v>37.372675716661242</v>
      </c>
      <c r="BQ7" s="39">
        <v>25.24723629135298</v>
      </c>
      <c r="BR7" s="39">
        <v>29.131910512228909</v>
      </c>
      <c r="BS7" s="39">
        <v>32.869301997940568</v>
      </c>
      <c r="BT7" s="39">
        <v>33.278031813875423</v>
      </c>
      <c r="BU7" s="39">
        <v>32.51457978172887</v>
      </c>
      <c r="BV7" s="39">
        <v>35.912711540597854</v>
      </c>
      <c r="BW7" s="39">
        <v>35.562590350026312</v>
      </c>
      <c r="BX7" s="39">
        <v>38.093109642236236</v>
      </c>
      <c r="BY7" s="39">
        <v>39.032261420260738</v>
      </c>
      <c r="BZ7" s="39">
        <v>39.1353703506256</v>
      </c>
      <c r="CA7" s="39">
        <v>37.592822216126748</v>
      </c>
      <c r="CB7" s="39">
        <v>39.10271594304325</v>
      </c>
      <c r="CC7" s="39">
        <v>37.614051690526765</v>
      </c>
      <c r="CD7" s="39">
        <v>37.164985509481888</v>
      </c>
      <c r="CE7" s="39">
        <v>37.069461513623985</v>
      </c>
      <c r="CF7" s="39">
        <v>36.932177938161182</v>
      </c>
      <c r="CG7" s="39">
        <v>38.723006080444314</v>
      </c>
      <c r="CH7" s="39">
        <v>38.575635386146764</v>
      </c>
      <c r="CI7" s="39">
        <v>38.200900070097141</v>
      </c>
      <c r="CJ7" s="39">
        <v>37.5</v>
      </c>
    </row>
    <row r="8" spans="1:88" s="21" customFormat="1" ht="30" customHeight="1" thickBot="1" x14ac:dyDescent="0.3">
      <c r="A8" s="52" t="s">
        <v>103</v>
      </c>
      <c r="B8" s="53">
        <f>+AVERAGE(B9:B13)</f>
        <v>49.728503753567509</v>
      </c>
      <c r="C8" s="53">
        <f t="shared" ref="C8:BN8" si="6">+AVERAGE(C9:C13)</f>
        <v>50.390406943341375</v>
      </c>
      <c r="D8" s="53">
        <f t="shared" si="6"/>
        <v>49.267241455437919</v>
      </c>
      <c r="E8" s="53">
        <f t="shared" si="6"/>
        <v>49.234922553260304</v>
      </c>
      <c r="F8" s="53">
        <f t="shared" si="6"/>
        <v>49.20041465702645</v>
      </c>
      <c r="G8" s="53">
        <f t="shared" si="6"/>
        <v>49.78352092370163</v>
      </c>
      <c r="H8" s="53">
        <f t="shared" si="6"/>
        <v>47.97089534991143</v>
      </c>
      <c r="I8" s="53">
        <f t="shared" si="6"/>
        <v>48.258283358026588</v>
      </c>
      <c r="J8" s="53">
        <f t="shared" si="6"/>
        <v>47.642962504149388</v>
      </c>
      <c r="K8" s="53">
        <f t="shared" si="6"/>
        <v>46.551252401938584</v>
      </c>
      <c r="L8" s="53">
        <f t="shared" si="6"/>
        <v>45.002937228629172</v>
      </c>
      <c r="M8" s="53">
        <f t="shared" si="6"/>
        <v>44.808081103069433</v>
      </c>
      <c r="N8" s="53">
        <f t="shared" si="6"/>
        <v>44.36229757515374</v>
      </c>
      <c r="O8" s="53">
        <f t="shared" si="6"/>
        <v>44.339346619243599</v>
      </c>
      <c r="P8" s="53">
        <f t="shared" si="6"/>
        <v>42.39803641082402</v>
      </c>
      <c r="Q8" s="53">
        <f t="shared" si="6"/>
        <v>42.333100646425521</v>
      </c>
      <c r="R8" s="53">
        <f t="shared" si="6"/>
        <v>41.539205698913484</v>
      </c>
      <c r="S8" s="53">
        <f t="shared" si="6"/>
        <v>40.745310751401441</v>
      </c>
      <c r="T8" s="53">
        <f t="shared" si="6"/>
        <v>38.719068069388001</v>
      </c>
      <c r="U8" s="53">
        <f t="shared" si="6"/>
        <v>38.389132896125538</v>
      </c>
      <c r="V8" s="53">
        <f t="shared" si="6"/>
        <v>38.10396603321206</v>
      </c>
      <c r="W8" s="53">
        <f t="shared" si="6"/>
        <v>39.358511568227236</v>
      </c>
      <c r="X8" s="53">
        <f t="shared" si="6"/>
        <v>37.506032554278335</v>
      </c>
      <c r="Y8" s="53">
        <f t="shared" si="6"/>
        <v>38.308327460024543</v>
      </c>
      <c r="Z8" s="53">
        <f t="shared" si="6"/>
        <v>37.98042403078572</v>
      </c>
      <c r="AA8" s="53">
        <f t="shared" si="6"/>
        <v>38.465815464958915</v>
      </c>
      <c r="AB8" s="53">
        <f t="shared" si="6"/>
        <v>36.648707486560042</v>
      </c>
      <c r="AC8" s="53">
        <f t="shared" si="6"/>
        <v>38.803472127311082</v>
      </c>
      <c r="AD8" s="53">
        <f t="shared" si="6"/>
        <v>37.837229084165379</v>
      </c>
      <c r="AE8" s="53">
        <f t="shared" si="6"/>
        <v>35.747297083753992</v>
      </c>
      <c r="AF8" s="53">
        <f t="shared" si="6"/>
        <v>36.808298142787137</v>
      </c>
      <c r="AG8" s="53">
        <f t="shared" si="6"/>
        <v>37.071556903385435</v>
      </c>
      <c r="AH8" s="53">
        <f t="shared" si="6"/>
        <v>36.845273703691205</v>
      </c>
      <c r="AI8" s="53">
        <f t="shared" si="6"/>
        <v>37.019058160513822</v>
      </c>
      <c r="AJ8" s="53">
        <f t="shared" si="6"/>
        <v>35.205768392370182</v>
      </c>
      <c r="AK8" s="53">
        <f t="shared" si="6"/>
        <v>36.164134722156817</v>
      </c>
      <c r="AL8" s="53">
        <f t="shared" si="6"/>
        <v>38.032368885563173</v>
      </c>
      <c r="AM8" s="53">
        <f t="shared" si="6"/>
        <v>37.743161183080211</v>
      </c>
      <c r="AN8" s="53">
        <f t="shared" si="6"/>
        <v>33.54</v>
      </c>
      <c r="AO8" s="53">
        <f t="shared" si="6"/>
        <v>36.865122159999999</v>
      </c>
      <c r="AP8" s="53">
        <f t="shared" si="6"/>
        <v>38.387724352655944</v>
      </c>
      <c r="AQ8" s="53">
        <f t="shared" si="6"/>
        <v>36.193815613065127</v>
      </c>
      <c r="AR8" s="53">
        <f t="shared" si="6"/>
        <v>35.48062073262399</v>
      </c>
      <c r="AS8" s="53">
        <f t="shared" si="6"/>
        <v>35.09561626250072</v>
      </c>
      <c r="AT8" s="53">
        <f t="shared" si="6"/>
        <v>35.952397567483715</v>
      </c>
      <c r="AU8" s="53">
        <f t="shared" si="6"/>
        <v>36.335327990742016</v>
      </c>
      <c r="AV8" s="53">
        <f t="shared" si="6"/>
        <v>34.032061077956065</v>
      </c>
      <c r="AW8" s="53">
        <f t="shared" si="6"/>
        <v>35.254325044290603</v>
      </c>
      <c r="AX8" s="53">
        <f t="shared" si="6"/>
        <v>35.339118204910449</v>
      </c>
      <c r="AY8" s="53">
        <f t="shared" si="6"/>
        <v>35.381514785220375</v>
      </c>
      <c r="AZ8" s="53">
        <f t="shared" si="6"/>
        <v>35.402713075375331</v>
      </c>
      <c r="BA8" s="53">
        <f t="shared" si="6"/>
        <v>35.423911365530287</v>
      </c>
      <c r="BB8" s="53">
        <f t="shared" si="6"/>
        <v>35.946920570914259</v>
      </c>
      <c r="BC8" s="53">
        <f t="shared" si="6"/>
        <v>36.114050721291569</v>
      </c>
      <c r="BD8" s="53">
        <f t="shared" si="6"/>
        <v>35.544005319396391</v>
      </c>
      <c r="BE8" s="53">
        <f t="shared" si="6"/>
        <v>36.004032868238184</v>
      </c>
      <c r="BF8" s="53">
        <f t="shared" si="6"/>
        <v>37.671499249372175</v>
      </c>
      <c r="BG8" s="53">
        <f t="shared" si="6"/>
        <v>37.012207427337749</v>
      </c>
      <c r="BH8" s="53">
        <f t="shared" si="6"/>
        <v>35.833472867625574</v>
      </c>
      <c r="BI8" s="53">
        <f t="shared" si="6"/>
        <v>37.330651029112296</v>
      </c>
      <c r="BJ8" s="53">
        <f t="shared" si="6"/>
        <v>38.30079763553622</v>
      </c>
      <c r="BK8" s="53">
        <f t="shared" si="6"/>
        <v>38.868685825161684</v>
      </c>
      <c r="BL8" s="53">
        <f t="shared" si="6"/>
        <v>38.620164260556074</v>
      </c>
      <c r="BM8" s="53">
        <f t="shared" si="6"/>
        <v>38.531661844555614</v>
      </c>
      <c r="BN8" s="53">
        <f t="shared" si="6"/>
        <v>39.10793264168224</v>
      </c>
      <c r="BO8" s="53">
        <f t="shared" ref="BO8:CI8" si="7">+AVERAGE(BO9:BO13)</f>
        <v>39.43164053214533</v>
      </c>
      <c r="BP8" s="53">
        <f t="shared" si="7"/>
        <v>39.313055927594768</v>
      </c>
      <c r="BQ8" s="53">
        <f t="shared" si="7"/>
        <v>27.939199769446152</v>
      </c>
      <c r="BR8" s="53">
        <f t="shared" si="7"/>
        <v>33.799796949273116</v>
      </c>
      <c r="BS8" s="53">
        <f t="shared" si="7"/>
        <v>35.461812874796358</v>
      </c>
      <c r="BT8" s="53">
        <f t="shared" si="7"/>
        <v>36.428747923922735</v>
      </c>
      <c r="BU8" s="53">
        <f t="shared" si="7"/>
        <v>33.754028828633828</v>
      </c>
      <c r="BV8" s="53">
        <f t="shared" si="7"/>
        <v>37.705167740055089</v>
      </c>
      <c r="BW8" s="53">
        <f t="shared" si="7"/>
        <v>36.441104660627346</v>
      </c>
      <c r="BX8" s="53">
        <f t="shared" si="7"/>
        <v>38.908697806418346</v>
      </c>
      <c r="BY8" s="53">
        <f t="shared" si="7"/>
        <v>40.285794588958083</v>
      </c>
      <c r="BZ8" s="53">
        <f t="shared" si="7"/>
        <v>40.847854588169973</v>
      </c>
      <c r="CA8" s="53">
        <f t="shared" si="7"/>
        <v>38.710937079445884</v>
      </c>
      <c r="CB8" s="53">
        <f t="shared" si="7"/>
        <v>38.969341498525424</v>
      </c>
      <c r="CC8" s="53">
        <f t="shared" si="7"/>
        <v>39.420930586128875</v>
      </c>
      <c r="CD8" s="53">
        <f t="shared" si="7"/>
        <v>38.995227646249866</v>
      </c>
      <c r="CE8" s="53">
        <f t="shared" si="7"/>
        <v>38.416421863030124</v>
      </c>
      <c r="CF8" s="53">
        <f t="shared" si="7"/>
        <v>37.692207192185357</v>
      </c>
      <c r="CG8" s="53">
        <f t="shared" si="7"/>
        <v>39.734747992237452</v>
      </c>
      <c r="CH8" s="53">
        <f t="shared" si="7"/>
        <v>39.725785340565778</v>
      </c>
      <c r="CI8" s="53">
        <f t="shared" si="7"/>
        <v>38.961239804125185</v>
      </c>
      <c r="CJ8" s="54">
        <f>+AVERAGE(CJ9:CJ13)</f>
        <v>38.44</v>
      </c>
    </row>
    <row r="9" spans="1:88" s="21" customFormat="1" ht="18" customHeight="1" x14ac:dyDescent="0.25">
      <c r="A9" s="55" t="s">
        <v>104</v>
      </c>
      <c r="B9" s="39">
        <v>72.563227584443851</v>
      </c>
      <c r="C9" s="39">
        <v>71.083603703935196</v>
      </c>
      <c r="D9" s="39">
        <v>67.934683019166286</v>
      </c>
      <c r="E9" s="39">
        <v>67.932750484169105</v>
      </c>
      <c r="F9" s="39">
        <v>68.052670405332009</v>
      </c>
      <c r="G9" s="39">
        <v>69.886150079288655</v>
      </c>
      <c r="H9" s="39">
        <v>66.044501814687678</v>
      </c>
      <c r="I9" s="39">
        <v>64.932712695262992</v>
      </c>
      <c r="J9" s="39">
        <v>64.704033787709648</v>
      </c>
      <c r="K9" s="39">
        <v>63.228024798159623</v>
      </c>
      <c r="L9" s="39">
        <v>63.591898330451002</v>
      </c>
      <c r="M9" s="39">
        <v>63.15789928440465</v>
      </c>
      <c r="N9" s="39">
        <v>62.154664907214283</v>
      </c>
      <c r="O9" s="39">
        <v>61.851809797110725</v>
      </c>
      <c r="P9" s="39">
        <v>57.934327633870929</v>
      </c>
      <c r="Q9" s="39">
        <v>58.497972564921064</v>
      </c>
      <c r="R9" s="51">
        <f t="shared" ref="R9:R13" si="8">+(Q9+S9)/2</f>
        <v>57.624877530599683</v>
      </c>
      <c r="S9" s="39">
        <v>56.751782496278302</v>
      </c>
      <c r="T9" s="39">
        <v>54.562842632967147</v>
      </c>
      <c r="U9" s="39">
        <v>54.153436357102095</v>
      </c>
      <c r="V9" s="39">
        <v>53.099492449056726</v>
      </c>
      <c r="W9" s="39">
        <v>55.600244812413692</v>
      </c>
      <c r="X9" s="39">
        <v>54.506930965327768</v>
      </c>
      <c r="Y9" s="39">
        <v>55.089459491346894</v>
      </c>
      <c r="Z9" s="39">
        <v>52.599857828792715</v>
      </c>
      <c r="AA9" s="39">
        <v>57.941514286536567</v>
      </c>
      <c r="AB9" s="39">
        <v>56.527960392403465</v>
      </c>
      <c r="AC9" s="39">
        <v>56.452993820476536</v>
      </c>
      <c r="AD9" s="39">
        <v>54.355027716078538</v>
      </c>
      <c r="AE9" s="39">
        <v>55.604129017452841</v>
      </c>
      <c r="AF9" s="39">
        <v>54.572843328580177</v>
      </c>
      <c r="AG9" s="39">
        <v>54.997021031201108</v>
      </c>
      <c r="AH9" s="39">
        <v>56.191176345603047</v>
      </c>
      <c r="AI9" s="39">
        <v>57.362069917249478</v>
      </c>
      <c r="AJ9" s="39">
        <v>53.922424729992002</v>
      </c>
      <c r="AK9" s="39">
        <v>54.641414907393361</v>
      </c>
      <c r="AL9" s="39">
        <v>58.594192718533535</v>
      </c>
      <c r="AM9" s="39">
        <v>58.660943187548462</v>
      </c>
      <c r="AN9" s="39">
        <v>51.4</v>
      </c>
      <c r="AO9" s="39">
        <v>56.655644500000001</v>
      </c>
      <c r="AP9" s="39">
        <v>61.845294694996753</v>
      </c>
      <c r="AQ9" s="39">
        <v>57.783119338112456</v>
      </c>
      <c r="AR9" s="39">
        <v>52.865918608062856</v>
      </c>
      <c r="AS9" s="39">
        <v>54.200776539451724</v>
      </c>
      <c r="AT9" s="39">
        <v>59.444475633191537</v>
      </c>
      <c r="AU9" s="39">
        <v>59.769842475653043</v>
      </c>
      <c r="AV9" s="39">
        <v>54.270332135976119</v>
      </c>
      <c r="AW9" s="39">
        <v>56.984796932771296</v>
      </c>
      <c r="AX9" s="51">
        <f t="shared" ref="AX9:AX13" si="9">+(AW9+BA9)/2</f>
        <v>57.171693749387273</v>
      </c>
      <c r="AY9" s="51">
        <f t="shared" ref="AY9:AY13" si="10">+(AX9+BA9)/2</f>
        <v>57.265142157695266</v>
      </c>
      <c r="AZ9" s="51">
        <f t="shared" ref="AZ9:AZ13" si="11">+(AY9+BA9)/2</f>
        <v>57.311866361849255</v>
      </c>
      <c r="BA9" s="56">
        <v>57.358590566003251</v>
      </c>
      <c r="BB9" s="39">
        <v>56.638884586708549</v>
      </c>
      <c r="BC9" s="39">
        <v>56.41625324614742</v>
      </c>
      <c r="BD9" s="39">
        <v>57.320435899225863</v>
      </c>
      <c r="BE9" s="39">
        <v>58.775704947755138</v>
      </c>
      <c r="BF9" s="39">
        <v>60.619013806574451</v>
      </c>
      <c r="BG9" s="39">
        <v>59.92202226950797</v>
      </c>
      <c r="BH9" s="39">
        <v>57.805926341622019</v>
      </c>
      <c r="BI9" s="39">
        <v>57.697556696565314</v>
      </c>
      <c r="BJ9" s="39">
        <v>60.211394482924284</v>
      </c>
      <c r="BK9" s="39">
        <v>61.144660150890765</v>
      </c>
      <c r="BL9" s="39">
        <v>59.184695934904532</v>
      </c>
      <c r="BM9" s="39">
        <v>60.504631613902184</v>
      </c>
      <c r="BN9" s="39">
        <v>64.112979508618537</v>
      </c>
      <c r="BO9" s="39">
        <v>63.496730015049209</v>
      </c>
      <c r="BP9" s="39">
        <v>64.185753050342512</v>
      </c>
      <c r="BQ9" s="39">
        <v>51.782241547516747</v>
      </c>
      <c r="BR9" s="39">
        <v>64.435865012958828</v>
      </c>
      <c r="BS9" s="39">
        <v>62.439389637960893</v>
      </c>
      <c r="BT9" s="39">
        <v>65.673217584573038</v>
      </c>
      <c r="BU9" s="39">
        <v>60.3090378639465</v>
      </c>
      <c r="BV9" s="39">
        <v>62.77827426534752</v>
      </c>
      <c r="BW9" s="39">
        <v>61.759827207031215</v>
      </c>
      <c r="BX9" s="39">
        <v>66.399625866153073</v>
      </c>
      <c r="BY9" s="39">
        <v>68.092933031184771</v>
      </c>
      <c r="BZ9" s="39">
        <v>68.320451363313026</v>
      </c>
      <c r="CA9" s="39">
        <v>65.233048431033282</v>
      </c>
      <c r="CB9" s="39">
        <v>63.021770234580046</v>
      </c>
      <c r="CC9" s="39">
        <v>60.716678996413862</v>
      </c>
      <c r="CD9" s="39">
        <v>63.277397976631988</v>
      </c>
      <c r="CE9" s="39">
        <v>66.284825716090097</v>
      </c>
      <c r="CF9" s="39">
        <v>56.685953552013288</v>
      </c>
      <c r="CG9" s="39">
        <v>63.224180714271668</v>
      </c>
      <c r="CH9" s="39">
        <v>65.501096282686632</v>
      </c>
      <c r="CI9" s="39">
        <v>64.417934865088952</v>
      </c>
      <c r="CJ9" s="39">
        <v>57.5</v>
      </c>
    </row>
    <row r="10" spans="1:88" s="21" customFormat="1" ht="18" customHeight="1" x14ac:dyDescent="0.25">
      <c r="A10" s="55" t="s">
        <v>105</v>
      </c>
      <c r="B10" s="39">
        <v>50.44721127640738</v>
      </c>
      <c r="C10" s="39">
        <v>48.463914136620197</v>
      </c>
      <c r="D10" s="39">
        <v>49.410905780856432</v>
      </c>
      <c r="E10" s="39">
        <v>45.844191431006351</v>
      </c>
      <c r="F10" s="39">
        <v>45.329417677533066</v>
      </c>
      <c r="G10" s="39">
        <v>46.027650235296811</v>
      </c>
      <c r="H10" s="39">
        <v>47.292315783206654</v>
      </c>
      <c r="I10" s="39">
        <v>46.114912390534201</v>
      </c>
      <c r="J10" s="39">
        <v>44.155110571355948</v>
      </c>
      <c r="K10" s="39">
        <v>43.2285460106865</v>
      </c>
      <c r="L10" s="39">
        <v>40.539118215152314</v>
      </c>
      <c r="M10" s="39">
        <v>42.418528060343682</v>
      </c>
      <c r="N10" s="39">
        <v>39.959920356760428</v>
      </c>
      <c r="O10" s="39">
        <v>41.174133688743083</v>
      </c>
      <c r="P10" s="39">
        <v>38.64109115773563</v>
      </c>
      <c r="Q10" s="39">
        <v>38.738994529712215</v>
      </c>
      <c r="R10" s="51">
        <f t="shared" si="8"/>
        <v>37.864829336618726</v>
      </c>
      <c r="S10" s="39">
        <v>36.990664143525237</v>
      </c>
      <c r="T10" s="39">
        <v>34.651886855905524</v>
      </c>
      <c r="U10" s="39">
        <v>33.880090646261628</v>
      </c>
      <c r="V10" s="39">
        <v>35.430715989761211</v>
      </c>
      <c r="W10" s="39">
        <v>35.136297693961453</v>
      </c>
      <c r="X10" s="39">
        <v>33.444688971512235</v>
      </c>
      <c r="Y10" s="39">
        <v>32.578365018133098</v>
      </c>
      <c r="Z10" s="39">
        <v>33.526537824764823</v>
      </c>
      <c r="AA10" s="39">
        <v>33.867695246228799</v>
      </c>
      <c r="AB10" s="39">
        <v>31.201210582181201</v>
      </c>
      <c r="AC10" s="39">
        <v>33.446656086000715</v>
      </c>
      <c r="AD10" s="39">
        <v>33.112185440221886</v>
      </c>
      <c r="AE10" s="39">
        <v>29.445463829025474</v>
      </c>
      <c r="AF10" s="39">
        <v>30.756111779004939</v>
      </c>
      <c r="AG10" s="39">
        <v>31.735612672100221</v>
      </c>
      <c r="AH10" s="39">
        <v>31.441395296485826</v>
      </c>
      <c r="AI10" s="39">
        <v>32.197186630843454</v>
      </c>
      <c r="AJ10" s="39">
        <v>30.990346544034441</v>
      </c>
      <c r="AK10" s="39">
        <v>33.032460326604365</v>
      </c>
      <c r="AL10" s="39">
        <v>32.557586687763688</v>
      </c>
      <c r="AM10" s="39">
        <v>31.803375196232338</v>
      </c>
      <c r="AN10" s="39">
        <v>30.7</v>
      </c>
      <c r="AO10" s="39">
        <v>32.1016817</v>
      </c>
      <c r="AP10" s="39">
        <v>32.282136886375639</v>
      </c>
      <c r="AQ10" s="39">
        <v>32.279647658347201</v>
      </c>
      <c r="AR10" s="39">
        <v>32.565643465189538</v>
      </c>
      <c r="AS10" s="39">
        <v>32.024764758105015</v>
      </c>
      <c r="AT10" s="39">
        <v>33.819293118773764</v>
      </c>
      <c r="AU10" s="39">
        <v>34.435438339861356</v>
      </c>
      <c r="AV10" s="39">
        <v>31.076520910585376</v>
      </c>
      <c r="AW10" s="39">
        <v>32.274321580210447</v>
      </c>
      <c r="AX10" s="51">
        <f t="shared" si="9"/>
        <v>32.250821362270514</v>
      </c>
      <c r="AY10" s="51">
        <f t="shared" si="10"/>
        <v>32.239071253300551</v>
      </c>
      <c r="AZ10" s="51">
        <f t="shared" si="11"/>
        <v>32.233196198815563</v>
      </c>
      <c r="BA10" s="56">
        <v>32.227321144330581</v>
      </c>
      <c r="BB10" s="39">
        <v>35.249872065050518</v>
      </c>
      <c r="BC10" s="39">
        <v>34.073481726231797</v>
      </c>
      <c r="BD10" s="39">
        <v>33.667143793798957</v>
      </c>
      <c r="BE10" s="39">
        <v>34.723036474087607</v>
      </c>
      <c r="BF10" s="39">
        <v>34.575722141030163</v>
      </c>
      <c r="BG10" s="39">
        <v>35.121908710451088</v>
      </c>
      <c r="BH10" s="39">
        <v>34.239128342184216</v>
      </c>
      <c r="BI10" s="39">
        <v>35.955010865024271</v>
      </c>
      <c r="BJ10" s="39">
        <v>36.210470127937946</v>
      </c>
      <c r="BK10" s="39">
        <v>35.412503769754835</v>
      </c>
      <c r="BL10" s="39">
        <v>36.874153231931807</v>
      </c>
      <c r="BM10" s="39">
        <v>34.824696655931518</v>
      </c>
      <c r="BN10" s="39">
        <v>36.456052488463399</v>
      </c>
      <c r="BO10" s="39">
        <v>37.870416728762102</v>
      </c>
      <c r="BP10" s="39">
        <v>37.53288096229025</v>
      </c>
      <c r="BQ10" s="39">
        <v>25.754269603997027</v>
      </c>
      <c r="BR10" s="39">
        <v>32.152333858892632</v>
      </c>
      <c r="BS10" s="39">
        <v>36.32426233545867</v>
      </c>
      <c r="BT10" s="39">
        <v>38.526393972852347</v>
      </c>
      <c r="BU10" s="39">
        <v>36.232353112210802</v>
      </c>
      <c r="BV10" s="39">
        <v>38.461831956559699</v>
      </c>
      <c r="BW10" s="39">
        <v>37.020165983209637</v>
      </c>
      <c r="BX10" s="39">
        <v>39.447644365677156</v>
      </c>
      <c r="BY10" s="39">
        <v>44.271138944171895</v>
      </c>
      <c r="BZ10" s="39">
        <v>40.65791954387339</v>
      </c>
      <c r="CA10" s="39">
        <v>39.398999451689413</v>
      </c>
      <c r="CB10" s="39">
        <v>40.635506250126539</v>
      </c>
      <c r="CC10" s="39">
        <v>40.888304299886265</v>
      </c>
      <c r="CD10" s="39">
        <v>38.56616563568722</v>
      </c>
      <c r="CE10" s="39">
        <v>39.809442490942651</v>
      </c>
      <c r="CF10" s="39">
        <v>38.319394336185141</v>
      </c>
      <c r="CG10" s="39">
        <v>41.581016496759979</v>
      </c>
      <c r="CH10" s="39">
        <v>40.654572549903534</v>
      </c>
      <c r="CI10" s="39">
        <v>41.3062398334514</v>
      </c>
      <c r="CJ10" s="39">
        <v>40.799999999999997</v>
      </c>
    </row>
    <row r="11" spans="1:88" s="21" customFormat="1" ht="18" customHeight="1" x14ac:dyDescent="0.25">
      <c r="A11" s="55" t="s">
        <v>106</v>
      </c>
      <c r="B11" s="39">
        <v>39.522312176720682</v>
      </c>
      <c r="C11" s="39">
        <v>39.872271919165634</v>
      </c>
      <c r="D11" s="39">
        <v>37.667446712664329</v>
      </c>
      <c r="E11" s="39">
        <v>40.04340117363607</v>
      </c>
      <c r="F11" s="39">
        <v>40.06824065977402</v>
      </c>
      <c r="G11" s="39">
        <v>41.315541671972632</v>
      </c>
      <c r="H11" s="39">
        <v>39.40856098762162</v>
      </c>
      <c r="I11" s="39">
        <v>39.003373845839384</v>
      </c>
      <c r="J11" s="39">
        <v>38.100546425074491</v>
      </c>
      <c r="K11" s="39">
        <v>39.003551383693221</v>
      </c>
      <c r="L11" s="39">
        <v>38.546022392694134</v>
      </c>
      <c r="M11" s="39">
        <v>35.577479001767202</v>
      </c>
      <c r="N11" s="39">
        <v>35.210790425688472</v>
      </c>
      <c r="O11" s="39">
        <v>34.821864314274961</v>
      </c>
      <c r="P11" s="39">
        <v>35.336566438838993</v>
      </c>
      <c r="Q11" s="39">
        <v>33.416143232992681</v>
      </c>
      <c r="R11" s="51">
        <f t="shared" si="8"/>
        <v>32.801277425809999</v>
      </c>
      <c r="S11" s="39">
        <v>32.186411618627325</v>
      </c>
      <c r="T11" s="39">
        <v>31.192608512059692</v>
      </c>
      <c r="U11" s="39">
        <v>28.64220747723148</v>
      </c>
      <c r="V11" s="39">
        <v>29.762313903229682</v>
      </c>
      <c r="W11" s="39">
        <v>31.823631174157253</v>
      </c>
      <c r="X11" s="39">
        <v>29.525348569819727</v>
      </c>
      <c r="Y11" s="39">
        <v>28.775255041402204</v>
      </c>
      <c r="Z11" s="39">
        <v>30.457500240918851</v>
      </c>
      <c r="AA11" s="39">
        <v>28.720184927543553</v>
      </c>
      <c r="AB11" s="39">
        <v>28.447703700088333</v>
      </c>
      <c r="AC11" s="39">
        <v>29.74266604621652</v>
      </c>
      <c r="AD11" s="39">
        <v>30.074189349046492</v>
      </c>
      <c r="AE11" s="39">
        <v>28.434209455491921</v>
      </c>
      <c r="AF11" s="39">
        <v>26.957994086546165</v>
      </c>
      <c r="AG11" s="39">
        <v>27.18275339976195</v>
      </c>
      <c r="AH11" s="39">
        <v>27.572240441385716</v>
      </c>
      <c r="AI11" s="39">
        <v>26.97213558827697</v>
      </c>
      <c r="AJ11" s="39">
        <v>26.308822813421319</v>
      </c>
      <c r="AK11" s="39">
        <v>27.341066171343165</v>
      </c>
      <c r="AL11" s="39">
        <v>26.960446743354176</v>
      </c>
      <c r="AM11" s="39">
        <v>26.964771080769516</v>
      </c>
      <c r="AN11" s="39">
        <v>26</v>
      </c>
      <c r="AO11" s="39">
        <v>27.832393400000001</v>
      </c>
      <c r="AP11" s="39">
        <v>26.452629538086558</v>
      </c>
      <c r="AQ11" s="39">
        <v>25.196401121689423</v>
      </c>
      <c r="AR11" s="39">
        <v>25.301612570066766</v>
      </c>
      <c r="AS11" s="39">
        <v>27.453642621260325</v>
      </c>
      <c r="AT11" s="39">
        <v>25.915515433825743</v>
      </c>
      <c r="AU11" s="39">
        <v>25.776313005582708</v>
      </c>
      <c r="AV11" s="39">
        <v>25.803672584249281</v>
      </c>
      <c r="AW11" s="39">
        <v>26.847745861537092</v>
      </c>
      <c r="AX11" s="51">
        <f t="shared" si="9"/>
        <v>26.968278304554687</v>
      </c>
      <c r="AY11" s="51">
        <f t="shared" si="10"/>
        <v>27.028544526063484</v>
      </c>
      <c r="AZ11" s="51">
        <f t="shared" si="11"/>
        <v>27.058677636817883</v>
      </c>
      <c r="BA11" s="56">
        <v>27.088810747572285</v>
      </c>
      <c r="BB11" s="39">
        <v>26.397856365383117</v>
      </c>
      <c r="BC11" s="39">
        <v>26.782543421345363</v>
      </c>
      <c r="BD11" s="39">
        <v>27.117849610306465</v>
      </c>
      <c r="BE11" s="39">
        <v>27.115585148728876</v>
      </c>
      <c r="BF11" s="39">
        <v>26.517703794956159</v>
      </c>
      <c r="BG11" s="39">
        <v>25.814206448850651</v>
      </c>
      <c r="BH11" s="39">
        <v>25.882039457765131</v>
      </c>
      <c r="BI11" s="39">
        <v>27.280701530221101</v>
      </c>
      <c r="BJ11" s="39">
        <v>25.601669662628872</v>
      </c>
      <c r="BK11" s="39">
        <v>27.492255617654589</v>
      </c>
      <c r="BL11" s="39">
        <v>26.989901831848979</v>
      </c>
      <c r="BM11" s="39">
        <v>26.783696395042721</v>
      </c>
      <c r="BN11" s="39">
        <v>26.60876252231661</v>
      </c>
      <c r="BO11" s="39">
        <v>27.693059778344448</v>
      </c>
      <c r="BP11" s="39">
        <v>27.803947776928535</v>
      </c>
      <c r="BQ11" s="39">
        <v>17.985760660478618</v>
      </c>
      <c r="BR11" s="39">
        <v>19.497550556500691</v>
      </c>
      <c r="BS11" s="39">
        <v>26.280672185898744</v>
      </c>
      <c r="BT11" s="39">
        <v>22.845882140536066</v>
      </c>
      <c r="BU11" s="39">
        <v>22.532395364382417</v>
      </c>
      <c r="BV11" s="39">
        <v>23.658159994128557</v>
      </c>
      <c r="BW11" s="39">
        <v>26.057039645687802</v>
      </c>
      <c r="BX11" s="39">
        <v>28.099550727613664</v>
      </c>
      <c r="BY11" s="39">
        <v>28.553962136831203</v>
      </c>
      <c r="BZ11" s="39">
        <v>29.135470724360708</v>
      </c>
      <c r="CA11" s="39">
        <v>27.420001553005712</v>
      </c>
      <c r="CB11" s="39">
        <v>28.791065297968089</v>
      </c>
      <c r="CC11" s="39">
        <v>29.966132732253058</v>
      </c>
      <c r="CD11" s="39">
        <v>28.453947916653309</v>
      </c>
      <c r="CE11" s="39">
        <v>27.51785281015049</v>
      </c>
      <c r="CF11" s="39">
        <v>30.055741201990742</v>
      </c>
      <c r="CG11" s="39">
        <v>27.424408700538709</v>
      </c>
      <c r="CH11" s="39">
        <v>29.468816599388823</v>
      </c>
      <c r="CI11" s="39">
        <v>27.66965668598375</v>
      </c>
      <c r="CJ11" s="39">
        <v>29.5</v>
      </c>
    </row>
    <row r="12" spans="1:88" s="21" customFormat="1" ht="18" customHeight="1" x14ac:dyDescent="0.25">
      <c r="A12" s="55" t="s">
        <v>107</v>
      </c>
      <c r="B12" s="39">
        <v>40.391323910994544</v>
      </c>
      <c r="C12" s="39">
        <v>41.476100866457188</v>
      </c>
      <c r="D12" s="39">
        <v>40.908923017825352</v>
      </c>
      <c r="E12" s="39">
        <v>41.302828198910319</v>
      </c>
      <c r="F12" s="39">
        <v>40.65281114448598</v>
      </c>
      <c r="G12" s="39">
        <v>42.237939913493072</v>
      </c>
      <c r="H12" s="39">
        <v>40.043932387830459</v>
      </c>
      <c r="I12" s="39">
        <v>39.157249601033712</v>
      </c>
      <c r="J12" s="39">
        <v>39.40311397412858</v>
      </c>
      <c r="K12" s="39">
        <v>39.214811243507732</v>
      </c>
      <c r="L12" s="39">
        <v>35.576604979851808</v>
      </c>
      <c r="M12" s="39">
        <v>36.341597180883973</v>
      </c>
      <c r="N12" s="39">
        <v>35.146225014492884</v>
      </c>
      <c r="O12" s="39">
        <v>34.561898409746902</v>
      </c>
      <c r="P12" s="39">
        <v>34.331096714059512</v>
      </c>
      <c r="Q12" s="39">
        <v>32.681678454325727</v>
      </c>
      <c r="R12" s="51">
        <f t="shared" si="8"/>
        <v>33.423257492608521</v>
      </c>
      <c r="S12" s="39">
        <v>34.164836530891314</v>
      </c>
      <c r="T12" s="39">
        <v>30.885316474694651</v>
      </c>
      <c r="U12" s="39">
        <v>32.881688644192295</v>
      </c>
      <c r="V12" s="39">
        <v>28.87327558954415</v>
      </c>
      <c r="W12" s="39">
        <v>28.637999953870203</v>
      </c>
      <c r="X12" s="39">
        <v>30.071514600713822</v>
      </c>
      <c r="Y12" s="39">
        <v>30.823493518551992</v>
      </c>
      <c r="Z12" s="39">
        <v>30.69040761877838</v>
      </c>
      <c r="AA12" s="39">
        <v>29.404395733270789</v>
      </c>
      <c r="AB12" s="39">
        <v>29.419194825013147</v>
      </c>
      <c r="AC12" s="39">
        <v>31.95146873967143</v>
      </c>
      <c r="AD12" s="39">
        <v>29.241455394080834</v>
      </c>
      <c r="AE12" s="39">
        <v>28.599861820174588</v>
      </c>
      <c r="AF12" s="39">
        <v>30.490631365439192</v>
      </c>
      <c r="AG12" s="39">
        <v>29.961507856043813</v>
      </c>
      <c r="AH12" s="39">
        <v>29.294300116324155</v>
      </c>
      <c r="AI12" s="39">
        <v>25.772047879588282</v>
      </c>
      <c r="AJ12" s="39">
        <v>26.761348719370105</v>
      </c>
      <c r="AK12" s="39">
        <v>28.000324800552161</v>
      </c>
      <c r="AL12" s="39">
        <v>29.517550330400876</v>
      </c>
      <c r="AM12" s="39">
        <v>28.2218653518309</v>
      </c>
      <c r="AN12" s="39">
        <v>26.4</v>
      </c>
      <c r="AO12" s="39">
        <v>27.4059025</v>
      </c>
      <c r="AP12" s="39">
        <v>27.338032624654247</v>
      </c>
      <c r="AQ12" s="39">
        <v>26.368967249150408</v>
      </c>
      <c r="AR12" s="39">
        <v>25.680050513943335</v>
      </c>
      <c r="AS12" s="39">
        <v>24.926588029109983</v>
      </c>
      <c r="AT12" s="39">
        <v>24.306490687621825</v>
      </c>
      <c r="AU12" s="39">
        <v>25.137219870654299</v>
      </c>
      <c r="AV12" s="39">
        <v>24.057196463156849</v>
      </c>
      <c r="AW12" s="39">
        <v>25.921547208855067</v>
      </c>
      <c r="AX12" s="51">
        <f t="shared" si="9"/>
        <v>25.569292230769172</v>
      </c>
      <c r="AY12" s="51">
        <f t="shared" si="10"/>
        <v>25.393164741726224</v>
      </c>
      <c r="AZ12" s="51">
        <f t="shared" si="11"/>
        <v>25.305100997204747</v>
      </c>
      <c r="BA12" s="56">
        <v>25.217037252683273</v>
      </c>
      <c r="BB12" s="39">
        <v>26.444436388502083</v>
      </c>
      <c r="BC12" s="39">
        <v>26.44159094423209</v>
      </c>
      <c r="BD12" s="39">
        <v>25.416368756856471</v>
      </c>
      <c r="BE12" s="39">
        <v>25.136470762020508</v>
      </c>
      <c r="BF12" s="39">
        <v>24.278216129660667</v>
      </c>
      <c r="BG12" s="39">
        <v>25.63572094869771</v>
      </c>
      <c r="BH12" s="39">
        <v>22.612251493683484</v>
      </c>
      <c r="BI12" s="39">
        <v>24.116408656567945</v>
      </c>
      <c r="BJ12" s="39">
        <v>26.298552298106031</v>
      </c>
      <c r="BK12" s="39">
        <v>25.67276318020118</v>
      </c>
      <c r="BL12" s="39">
        <v>25.556802274014466</v>
      </c>
      <c r="BM12" s="39">
        <v>26.422427348397015</v>
      </c>
      <c r="BN12" s="39">
        <v>26.51208182440093</v>
      </c>
      <c r="BO12" s="39">
        <v>26.583565561924534</v>
      </c>
      <c r="BP12" s="39">
        <v>26.563473952401012</v>
      </c>
      <c r="BQ12" s="39">
        <v>19.981211344154953</v>
      </c>
      <c r="BR12" s="39">
        <v>26.386501342435047</v>
      </c>
      <c r="BS12" s="39">
        <v>24.034929351910954</v>
      </c>
      <c r="BT12" s="39">
        <v>21.974226091619418</v>
      </c>
      <c r="BU12" s="39">
        <v>22.950083358810883</v>
      </c>
      <c r="BV12" s="39">
        <v>25.97744445436253</v>
      </c>
      <c r="BW12" s="39">
        <v>24.231081581930759</v>
      </c>
      <c r="BX12" s="39">
        <v>25.004848232624571</v>
      </c>
      <c r="BY12" s="39">
        <v>26.153057475356757</v>
      </c>
      <c r="BZ12" s="39">
        <v>27.377642835474418</v>
      </c>
      <c r="CA12" s="39">
        <v>25.124529770796457</v>
      </c>
      <c r="CB12" s="39">
        <v>27.804580782235639</v>
      </c>
      <c r="CC12" s="39">
        <v>26.845766777413438</v>
      </c>
      <c r="CD12" s="39">
        <v>24.387382647494849</v>
      </c>
      <c r="CE12" s="39">
        <v>25.993599663192924</v>
      </c>
      <c r="CF12" s="39">
        <v>26.72137666751021</v>
      </c>
      <c r="CG12" s="39">
        <v>27.259785598710256</v>
      </c>
      <c r="CH12" s="39">
        <v>26.519916211801032</v>
      </c>
      <c r="CI12" s="39">
        <v>26.086461358471425</v>
      </c>
      <c r="CJ12" s="39">
        <v>27.4</v>
      </c>
    </row>
    <row r="13" spans="1:88" s="21" customFormat="1" ht="18" customHeight="1" thickBot="1" x14ac:dyDescent="0.3">
      <c r="A13" s="55" t="s">
        <v>108</v>
      </c>
      <c r="B13" s="39">
        <v>45.718443819271108</v>
      </c>
      <c r="C13" s="39">
        <v>51.056144090528676</v>
      </c>
      <c r="D13" s="39">
        <v>50.414248746677195</v>
      </c>
      <c r="E13" s="39">
        <v>51.051441478579676</v>
      </c>
      <c r="F13" s="39">
        <v>51.898933398007152</v>
      </c>
      <c r="G13" s="39">
        <v>49.450322718456974</v>
      </c>
      <c r="H13" s="39">
        <v>47.065165776210719</v>
      </c>
      <c r="I13" s="39">
        <v>52.083168257462674</v>
      </c>
      <c r="J13" s="39">
        <v>51.852007762478266</v>
      </c>
      <c r="K13" s="39">
        <v>48.081328573645813</v>
      </c>
      <c r="L13" s="39">
        <v>46.761042224996643</v>
      </c>
      <c r="M13" s="39">
        <v>46.544901987947632</v>
      </c>
      <c r="N13" s="39">
        <v>49.339887171612645</v>
      </c>
      <c r="O13" s="39">
        <v>49.287026886342304</v>
      </c>
      <c r="P13" s="39">
        <v>45.74710010961504</v>
      </c>
      <c r="Q13" s="39">
        <v>48.330714450175918</v>
      </c>
      <c r="R13" s="51">
        <f t="shared" si="8"/>
        <v>45.981786708930471</v>
      </c>
      <c r="S13" s="39">
        <v>43.632858967685017</v>
      </c>
      <c r="T13" s="39">
        <v>42.302685871312988</v>
      </c>
      <c r="U13" s="39">
        <v>42.388241355840201</v>
      </c>
      <c r="V13" s="39">
        <v>43.354032234468512</v>
      </c>
      <c r="W13" s="39">
        <v>45.594384206733594</v>
      </c>
      <c r="X13" s="39">
        <v>39.981679664018124</v>
      </c>
      <c r="Y13" s="39">
        <v>44.275064230688514</v>
      </c>
      <c r="Z13" s="39">
        <v>42.627816640673799</v>
      </c>
      <c r="AA13" s="39">
        <v>42.395287131214857</v>
      </c>
      <c r="AB13" s="39">
        <v>37.647467933114086</v>
      </c>
      <c r="AC13" s="39">
        <v>42.423575944190176</v>
      </c>
      <c r="AD13" s="39">
        <v>42.403287521399122</v>
      </c>
      <c r="AE13" s="39">
        <v>36.652821296625113</v>
      </c>
      <c r="AF13" s="39">
        <v>41.263910154365199</v>
      </c>
      <c r="AG13" s="39">
        <v>41.480889557820092</v>
      </c>
      <c r="AH13" s="39">
        <v>39.727256318657261</v>
      </c>
      <c r="AI13" s="39">
        <v>42.791850786610922</v>
      </c>
      <c r="AJ13" s="39">
        <v>38.045899155033062</v>
      </c>
      <c r="AK13" s="39">
        <v>37.805407404891049</v>
      </c>
      <c r="AL13" s="39">
        <v>42.532067947763572</v>
      </c>
      <c r="AM13" s="39">
        <v>43.064851099019855</v>
      </c>
      <c r="AN13" s="39">
        <v>33.200000000000003</v>
      </c>
      <c r="AO13" s="39">
        <v>40.329988700000001</v>
      </c>
      <c r="AP13" s="39">
        <v>44.020528019166505</v>
      </c>
      <c r="AQ13" s="39">
        <v>39.340942698026176</v>
      </c>
      <c r="AR13" s="39">
        <v>40.989878505857433</v>
      </c>
      <c r="AS13" s="39">
        <v>36.872309364576559</v>
      </c>
      <c r="AT13" s="39">
        <v>36.276212964005694</v>
      </c>
      <c r="AU13" s="39">
        <v>36.557826261958702</v>
      </c>
      <c r="AV13" s="39">
        <v>34.952583295812694</v>
      </c>
      <c r="AW13" s="39">
        <v>34.243213638079105</v>
      </c>
      <c r="AX13" s="51">
        <f t="shared" si="9"/>
        <v>34.73550537757059</v>
      </c>
      <c r="AY13" s="51">
        <f t="shared" si="10"/>
        <v>34.981651247316329</v>
      </c>
      <c r="AZ13" s="51">
        <f t="shared" si="11"/>
        <v>35.104724182189202</v>
      </c>
      <c r="BA13" s="56">
        <v>35.227797117062067</v>
      </c>
      <c r="BB13" s="39">
        <v>35.003553448926979</v>
      </c>
      <c r="BC13" s="39">
        <v>36.856384268501166</v>
      </c>
      <c r="BD13" s="39">
        <v>34.198228536794176</v>
      </c>
      <c r="BE13" s="39">
        <v>34.269367008598785</v>
      </c>
      <c r="BF13" s="39">
        <v>42.366840374639423</v>
      </c>
      <c r="BG13" s="39">
        <v>38.567178759181317</v>
      </c>
      <c r="BH13" s="39">
        <v>38.628018702873028</v>
      </c>
      <c r="BI13" s="39">
        <v>41.603577397182818</v>
      </c>
      <c r="BJ13" s="39">
        <v>43.181901606083969</v>
      </c>
      <c r="BK13" s="39">
        <v>44.621246407307055</v>
      </c>
      <c r="BL13" s="39">
        <v>44.495268030080574</v>
      </c>
      <c r="BM13" s="39">
        <v>44.122857209504637</v>
      </c>
      <c r="BN13" s="39">
        <v>41.849786864611715</v>
      </c>
      <c r="BO13" s="39">
        <v>41.514430576646404</v>
      </c>
      <c r="BP13" s="39">
        <v>40.479223896011547</v>
      </c>
      <c r="BQ13" s="39">
        <v>24.19251569108339</v>
      </c>
      <c r="BR13" s="39">
        <v>26.526733975578377</v>
      </c>
      <c r="BS13" s="39">
        <v>28.229810862752508</v>
      </c>
      <c r="BT13" s="39">
        <v>33.1240198300328</v>
      </c>
      <c r="BU13" s="39">
        <v>26.746274443818542</v>
      </c>
      <c r="BV13" s="39">
        <v>37.650128029877159</v>
      </c>
      <c r="BW13" s="39">
        <v>33.137408885277317</v>
      </c>
      <c r="BX13" s="39">
        <v>35.591819840023234</v>
      </c>
      <c r="BY13" s="39">
        <v>34.35788135724583</v>
      </c>
      <c r="BZ13" s="39">
        <v>38.747788473828308</v>
      </c>
      <c r="CA13" s="39">
        <v>36.378106190704521</v>
      </c>
      <c r="CB13" s="39">
        <v>34.593784927716804</v>
      </c>
      <c r="CC13" s="39">
        <v>38.687770124677719</v>
      </c>
      <c r="CD13" s="39">
        <v>40.291244054781963</v>
      </c>
      <c r="CE13" s="39">
        <v>32.47638863477448</v>
      </c>
      <c r="CF13" s="39">
        <v>36.678570203227395</v>
      </c>
      <c r="CG13" s="39">
        <v>39.184348450906633</v>
      </c>
      <c r="CH13" s="39">
        <v>36.484525059048842</v>
      </c>
      <c r="CI13" s="39">
        <v>35.325906277630416</v>
      </c>
      <c r="CJ13" s="39">
        <v>37</v>
      </c>
    </row>
    <row r="14" spans="1:88" s="21" customFormat="1" ht="30" customHeight="1" thickBot="1" x14ac:dyDescent="0.3">
      <c r="A14" s="52" t="s">
        <v>109</v>
      </c>
      <c r="B14" s="53">
        <f>+AVERAGE(B15:B18)</f>
        <v>52.865822573689435</v>
      </c>
      <c r="C14" s="53">
        <f>+AVERAGE(C15:C18)</f>
        <v>53.480689230853514</v>
      </c>
      <c r="D14" s="53">
        <f t="shared" ref="D14:BN14" si="12">+AVERAGE(D15:D18)</f>
        <v>52.176552438614564</v>
      </c>
      <c r="E14" s="53">
        <f t="shared" si="12"/>
        <v>51.086799384332686</v>
      </c>
      <c r="F14" s="53">
        <f t="shared" si="12"/>
        <v>51.437277667781927</v>
      </c>
      <c r="G14" s="53">
        <f t="shared" si="12"/>
        <v>52.725208130923676</v>
      </c>
      <c r="H14" s="53">
        <f t="shared" si="12"/>
        <v>51.258662373176534</v>
      </c>
      <c r="I14" s="53">
        <f t="shared" si="12"/>
        <v>50.244349455731559</v>
      </c>
      <c r="J14" s="53">
        <f t="shared" si="12"/>
        <v>49.603954860526784</v>
      </c>
      <c r="K14" s="53">
        <f t="shared" si="12"/>
        <v>48.777933785266441</v>
      </c>
      <c r="L14" s="53">
        <f t="shared" si="12"/>
        <v>47.301131724996097</v>
      </c>
      <c r="M14" s="53">
        <f t="shared" si="12"/>
        <v>46.999205677697987</v>
      </c>
      <c r="N14" s="53">
        <f t="shared" si="12"/>
        <v>45.757049831091145</v>
      </c>
      <c r="O14" s="53">
        <f t="shared" si="12"/>
        <v>45.003817204315325</v>
      </c>
      <c r="P14" s="53">
        <f t="shared" si="12"/>
        <v>43.685428519174067</v>
      </c>
      <c r="Q14" s="53">
        <f t="shared" si="12"/>
        <v>43.903934788448154</v>
      </c>
      <c r="R14" s="53">
        <f t="shared" si="12"/>
        <v>42.790273822546538</v>
      </c>
      <c r="S14" s="53">
        <f t="shared" si="12"/>
        <v>41.676612856644923</v>
      </c>
      <c r="T14" s="53">
        <f t="shared" si="12"/>
        <v>39.262287297406466</v>
      </c>
      <c r="U14" s="53">
        <f t="shared" si="12"/>
        <v>38.574529582446765</v>
      </c>
      <c r="V14" s="53">
        <f t="shared" si="12"/>
        <v>39.110291509933973</v>
      </c>
      <c r="W14" s="53">
        <f t="shared" si="12"/>
        <v>40.102498502593342</v>
      </c>
      <c r="X14" s="53">
        <f t="shared" si="12"/>
        <v>37.919719577918869</v>
      </c>
      <c r="Y14" s="53">
        <f t="shared" si="12"/>
        <v>38.423687167770723</v>
      </c>
      <c r="Z14" s="53">
        <f t="shared" si="12"/>
        <v>39.092851101304134</v>
      </c>
      <c r="AA14" s="53">
        <f t="shared" si="12"/>
        <v>39.324116293238134</v>
      </c>
      <c r="AB14" s="53">
        <f t="shared" si="12"/>
        <v>37.951597344669203</v>
      </c>
      <c r="AC14" s="53">
        <f t="shared" si="12"/>
        <v>38.77671759814492</v>
      </c>
      <c r="AD14" s="53">
        <f t="shared" si="12"/>
        <v>38.819246023117479</v>
      </c>
      <c r="AE14" s="53">
        <f t="shared" si="12"/>
        <v>37.003768495527169</v>
      </c>
      <c r="AF14" s="53">
        <f t="shared" si="12"/>
        <v>37.719019082688867</v>
      </c>
      <c r="AG14" s="53">
        <f t="shared" si="12"/>
        <v>37.669733144076432</v>
      </c>
      <c r="AH14" s="53">
        <f t="shared" si="12"/>
        <v>36.830515800328548</v>
      </c>
      <c r="AI14" s="53">
        <f t="shared" si="12"/>
        <v>37.096102659949054</v>
      </c>
      <c r="AJ14" s="53">
        <f t="shared" si="12"/>
        <v>35.043750622405767</v>
      </c>
      <c r="AK14" s="53">
        <f t="shared" si="12"/>
        <v>36.964095947542049</v>
      </c>
      <c r="AL14" s="53">
        <f t="shared" si="12"/>
        <v>37.272620339284103</v>
      </c>
      <c r="AM14" s="53">
        <f t="shared" si="12"/>
        <v>38.024404573255545</v>
      </c>
      <c r="AN14" s="53">
        <f t="shared" si="12"/>
        <v>35.524999999999999</v>
      </c>
      <c r="AO14" s="53">
        <f t="shared" si="12"/>
        <v>37.99621595</v>
      </c>
      <c r="AP14" s="53">
        <f t="shared" si="12"/>
        <v>38.140158131583313</v>
      </c>
      <c r="AQ14" s="53">
        <f t="shared" si="12"/>
        <v>36.188710961193706</v>
      </c>
      <c r="AR14" s="53">
        <f t="shared" si="12"/>
        <v>36.531196450570576</v>
      </c>
      <c r="AS14" s="53">
        <f t="shared" si="12"/>
        <v>37.094792731871713</v>
      </c>
      <c r="AT14" s="53">
        <f t="shared" si="12"/>
        <v>37.287987662525943</v>
      </c>
      <c r="AU14" s="53">
        <f t="shared" si="12"/>
        <v>38.236158334344637</v>
      </c>
      <c r="AV14" s="53">
        <f t="shared" si="12"/>
        <v>35.970323944990113</v>
      </c>
      <c r="AW14" s="53">
        <f t="shared" si="12"/>
        <v>36.918819729083239</v>
      </c>
      <c r="AX14" s="53">
        <f t="shared" si="12"/>
        <v>36.67854183130477</v>
      </c>
      <c r="AY14" s="53">
        <f t="shared" si="12"/>
        <v>36.558402882415535</v>
      </c>
      <c r="AZ14" s="53">
        <f t="shared" si="12"/>
        <v>36.498333407970918</v>
      </c>
      <c r="BA14" s="53">
        <f t="shared" si="12"/>
        <v>36.438263933526294</v>
      </c>
      <c r="BB14" s="53">
        <f>+AVERAGE(BB15:BB18)</f>
        <v>37.183852010865671</v>
      </c>
      <c r="BC14" s="53">
        <f t="shared" si="12"/>
        <v>36.50602793543564</v>
      </c>
      <c r="BD14" s="53">
        <f t="shared" si="12"/>
        <v>36.777212143832742</v>
      </c>
      <c r="BE14" s="53">
        <f t="shared" si="12"/>
        <v>37.677405091386483</v>
      </c>
      <c r="BF14" s="53">
        <f t="shared" si="12"/>
        <v>38.195989518656113</v>
      </c>
      <c r="BG14" s="53">
        <f t="shared" si="12"/>
        <v>38.301802249665492</v>
      </c>
      <c r="BH14" s="53">
        <f t="shared" si="12"/>
        <v>36.423631086835663</v>
      </c>
      <c r="BI14" s="53">
        <f t="shared" si="12"/>
        <v>38.430640406020245</v>
      </c>
      <c r="BJ14" s="53">
        <f t="shared" si="12"/>
        <v>38.762018162071215</v>
      </c>
      <c r="BK14" s="53">
        <f t="shared" si="12"/>
        <v>39.697811971929703</v>
      </c>
      <c r="BL14" s="53">
        <f t="shared" si="12"/>
        <v>38.763005311149044</v>
      </c>
      <c r="BM14" s="53">
        <f t="shared" si="12"/>
        <v>38.184825023811797</v>
      </c>
      <c r="BN14" s="53">
        <f t="shared" si="12"/>
        <v>39.176048815553635</v>
      </c>
      <c r="BO14" s="53">
        <f t="shared" ref="BO14:CI14" si="13">+AVERAGE(BO15:BO18)</f>
        <v>40.381173745062455</v>
      </c>
      <c r="BP14" s="53">
        <f t="shared" si="13"/>
        <v>40.458328231839012</v>
      </c>
      <c r="BQ14" s="53">
        <f t="shared" si="13"/>
        <v>27.922205209399131</v>
      </c>
      <c r="BR14" s="53">
        <f t="shared" si="13"/>
        <v>33.308056285904726</v>
      </c>
      <c r="BS14" s="53">
        <f t="shared" si="13"/>
        <v>37.301088710582448</v>
      </c>
      <c r="BT14" s="53">
        <f t="shared" si="13"/>
        <v>36.940136675512996</v>
      </c>
      <c r="BU14" s="53">
        <f t="shared" si="13"/>
        <v>36.808090058409668</v>
      </c>
      <c r="BV14" s="53">
        <f t="shared" si="13"/>
        <v>39.149208320247297</v>
      </c>
      <c r="BW14" s="53">
        <f t="shared" si="13"/>
        <v>37.996108786936183</v>
      </c>
      <c r="BX14" s="53">
        <f t="shared" si="13"/>
        <v>40.847008693829771</v>
      </c>
      <c r="BY14" s="53">
        <f t="shared" si="13"/>
        <v>42.617776629370368</v>
      </c>
      <c r="BZ14" s="53">
        <f t="shared" si="13"/>
        <v>42.834988063666657</v>
      </c>
      <c r="CA14" s="53">
        <f t="shared" si="13"/>
        <v>40.644751703641866</v>
      </c>
      <c r="CB14" s="53">
        <f t="shared" si="13"/>
        <v>42.176574315807315</v>
      </c>
      <c r="CC14" s="53">
        <f t="shared" si="13"/>
        <v>41.461064888084671</v>
      </c>
      <c r="CD14" s="53">
        <f t="shared" si="13"/>
        <v>40.511274414652661</v>
      </c>
      <c r="CE14" s="53">
        <f t="shared" si="13"/>
        <v>39.902811647866848</v>
      </c>
      <c r="CF14" s="53">
        <f t="shared" si="13"/>
        <v>39.710750507962651</v>
      </c>
      <c r="CG14" s="53">
        <f t="shared" si="13"/>
        <v>41.200564795973648</v>
      </c>
      <c r="CH14" s="53">
        <f t="shared" si="13"/>
        <v>41.422761553999237</v>
      </c>
      <c r="CI14" s="53">
        <f t="shared" si="13"/>
        <v>41.737665578647842</v>
      </c>
      <c r="CJ14" s="54">
        <f>+AVERAGE(CJ15:CJ18)</f>
        <v>40.1</v>
      </c>
    </row>
    <row r="15" spans="1:88" s="21" customFormat="1" ht="18" customHeight="1" x14ac:dyDescent="0.25">
      <c r="A15" s="55" t="s">
        <v>110</v>
      </c>
      <c r="B15" s="39">
        <v>40.477216840332396</v>
      </c>
      <c r="C15" s="39">
        <v>41.208862637425469</v>
      </c>
      <c r="D15" s="39">
        <v>39.420852911480885</v>
      </c>
      <c r="E15" s="39">
        <v>40.487055927396554</v>
      </c>
      <c r="F15" s="39">
        <v>39.470817974490231</v>
      </c>
      <c r="G15" s="39">
        <v>39.973174990289358</v>
      </c>
      <c r="H15" s="39">
        <v>39.157419564533683</v>
      </c>
      <c r="I15" s="39">
        <v>39.150848446729348</v>
      </c>
      <c r="J15" s="39">
        <v>38.410841565803743</v>
      </c>
      <c r="K15" s="39">
        <v>38.371454706573402</v>
      </c>
      <c r="L15" s="39">
        <v>35.790651935895532</v>
      </c>
      <c r="M15" s="39">
        <v>35.620405834120611</v>
      </c>
      <c r="N15" s="39">
        <v>35.520823052587168</v>
      </c>
      <c r="O15" s="39">
        <v>36.092761864418996</v>
      </c>
      <c r="P15" s="39">
        <v>34.44009047208894</v>
      </c>
      <c r="Q15" s="39">
        <v>33.231419266181192</v>
      </c>
      <c r="R15" s="51">
        <f t="shared" ref="R15:R18" si="14">+(Q15+S15)/2</f>
        <v>32.601634473784557</v>
      </c>
      <c r="S15" s="39">
        <v>31.971849681387926</v>
      </c>
      <c r="T15" s="39">
        <v>31.02912248002907</v>
      </c>
      <c r="U15" s="39">
        <v>30.377438159180169</v>
      </c>
      <c r="V15" s="39">
        <v>29.838250938058863</v>
      </c>
      <c r="W15" s="39">
        <v>30.131303433333645</v>
      </c>
      <c r="X15" s="39">
        <v>29.019187586260369</v>
      </c>
      <c r="Y15" s="39">
        <v>29.872265762968663</v>
      </c>
      <c r="Z15" s="39">
        <v>29.980954468482651</v>
      </c>
      <c r="AA15" s="39">
        <v>29.190431038603538</v>
      </c>
      <c r="AB15" s="39">
        <v>28.411146571309935</v>
      </c>
      <c r="AC15" s="39">
        <v>30.634232143738465</v>
      </c>
      <c r="AD15" s="39">
        <v>29.124219981601492</v>
      </c>
      <c r="AE15" s="39">
        <v>27.501702402864499</v>
      </c>
      <c r="AF15" s="39">
        <v>27.502791874676596</v>
      </c>
      <c r="AG15" s="39">
        <v>27.647954897118755</v>
      </c>
      <c r="AH15" s="39">
        <v>28.421146616161003</v>
      </c>
      <c r="AI15" s="39">
        <v>28.087260804925812</v>
      </c>
      <c r="AJ15" s="39">
        <v>28.036318127260156</v>
      </c>
      <c r="AK15" s="39">
        <v>28.032276394583818</v>
      </c>
      <c r="AL15" s="39">
        <v>27.829892272193629</v>
      </c>
      <c r="AM15" s="39">
        <v>27.25856822409536</v>
      </c>
      <c r="AN15" s="39">
        <v>26</v>
      </c>
      <c r="AO15" s="39">
        <v>27.562608900000001</v>
      </c>
      <c r="AP15" s="39">
        <v>27.729401317824699</v>
      </c>
      <c r="AQ15" s="39">
        <v>27.049722932253673</v>
      </c>
      <c r="AR15" s="39">
        <v>26.388058421792099</v>
      </c>
      <c r="AS15" s="39">
        <v>26.975556132792356</v>
      </c>
      <c r="AT15" s="39">
        <v>27.069139837626327</v>
      </c>
      <c r="AU15" s="39">
        <v>27.011873110061547</v>
      </c>
      <c r="AV15" s="39">
        <v>25.843632781603169</v>
      </c>
      <c r="AW15" s="39">
        <v>26.632193509789886</v>
      </c>
      <c r="AX15" s="51">
        <f t="shared" ref="AX15:AX18" si="15">+(AW15+BA15)/2</f>
        <v>26.66847954985775</v>
      </c>
      <c r="AY15" s="51">
        <f t="shared" ref="AY15:AY18" si="16">+(AX15+BA15)/2</f>
        <v>26.686622569891682</v>
      </c>
      <c r="AZ15" s="51">
        <f t="shared" ref="AZ15:AZ18" si="17">+(AY15+BA15)/2</f>
        <v>26.695694079908648</v>
      </c>
      <c r="BA15" s="56">
        <v>26.704765589925611</v>
      </c>
      <c r="BB15" s="39">
        <v>26.662843951994319</v>
      </c>
      <c r="BC15" s="39">
        <v>27.266946070587494</v>
      </c>
      <c r="BD15" s="39">
        <v>27.760845317786227</v>
      </c>
      <c r="BE15" s="39">
        <v>27.254098970680317</v>
      </c>
      <c r="BF15" s="39">
        <v>27.810891748359261</v>
      </c>
      <c r="BG15" s="39">
        <v>26.592797983159112</v>
      </c>
      <c r="BH15" s="39">
        <v>27.236750369850338</v>
      </c>
      <c r="BI15" s="39">
        <v>28.422087701759267</v>
      </c>
      <c r="BJ15" s="39">
        <v>27.709391215404743</v>
      </c>
      <c r="BK15" s="39">
        <v>28.98137973362125</v>
      </c>
      <c r="BL15" s="39">
        <v>29.806259659253914</v>
      </c>
      <c r="BM15" s="39">
        <v>28.765117035528053</v>
      </c>
      <c r="BN15" s="39">
        <v>28.785658858334546</v>
      </c>
      <c r="BO15" s="39">
        <v>29.347697002459711</v>
      </c>
      <c r="BP15" s="39">
        <v>28.779289203545748</v>
      </c>
      <c r="BQ15" s="39">
        <v>18.630886805620499</v>
      </c>
      <c r="BR15" s="39">
        <v>23.499527644195837</v>
      </c>
      <c r="BS15" s="39">
        <v>25.87098675674056</v>
      </c>
      <c r="BT15" s="39">
        <v>25.644619943561292</v>
      </c>
      <c r="BU15" s="39">
        <v>23.266710090937941</v>
      </c>
      <c r="BV15" s="39">
        <v>26.286434683726601</v>
      </c>
      <c r="BW15" s="39">
        <v>26.959371833137759</v>
      </c>
      <c r="BX15" s="39">
        <v>28.298291201237653</v>
      </c>
      <c r="BY15" s="39">
        <v>30.448781220379338</v>
      </c>
      <c r="BZ15" s="39">
        <v>29.643018949102196</v>
      </c>
      <c r="CA15" s="39">
        <v>28.883822440881929</v>
      </c>
      <c r="CB15" s="39">
        <v>29.81417914868112</v>
      </c>
      <c r="CC15" s="39">
        <v>31.109614429446864</v>
      </c>
      <c r="CD15" s="39">
        <v>29.131924345207512</v>
      </c>
      <c r="CE15" s="39">
        <v>28.100657285516</v>
      </c>
      <c r="CF15" s="39">
        <v>28.939849572363219</v>
      </c>
      <c r="CG15" s="39">
        <v>28.954924539206033</v>
      </c>
      <c r="CH15" s="39">
        <v>30.29992059407488</v>
      </c>
      <c r="CI15" s="39">
        <v>29.126956057825375</v>
      </c>
      <c r="CJ15" s="39">
        <v>30.3</v>
      </c>
    </row>
    <row r="16" spans="1:88" s="21" customFormat="1" ht="18" customHeight="1" x14ac:dyDescent="0.25">
      <c r="A16" s="55" t="s">
        <v>111</v>
      </c>
      <c r="B16" s="39">
        <v>50.52754000744325</v>
      </c>
      <c r="C16" s="39">
        <v>49.711110360833146</v>
      </c>
      <c r="D16" s="39">
        <v>50.604375392508317</v>
      </c>
      <c r="E16" s="39">
        <v>49.254843002295232</v>
      </c>
      <c r="F16" s="39">
        <v>50.175772883203052</v>
      </c>
      <c r="G16" s="39">
        <v>51.30484759435965</v>
      </c>
      <c r="H16" s="39">
        <v>49.050766632538689</v>
      </c>
      <c r="I16" s="39">
        <v>49.942258706288847</v>
      </c>
      <c r="J16" s="39">
        <v>48.386443859874333</v>
      </c>
      <c r="K16" s="39">
        <v>47.323612106621319</v>
      </c>
      <c r="L16" s="39">
        <v>45.510798181149795</v>
      </c>
      <c r="M16" s="39">
        <v>43.71990149580445</v>
      </c>
      <c r="N16" s="39">
        <v>42.583393415422783</v>
      </c>
      <c r="O16" s="39">
        <v>40.256637652169836</v>
      </c>
      <c r="P16" s="39">
        <v>40.672360247455543</v>
      </c>
      <c r="Q16" s="39">
        <v>38.975344303361233</v>
      </c>
      <c r="R16" s="51">
        <f t="shared" si="14"/>
        <v>38.831692912904174</v>
      </c>
      <c r="S16" s="39">
        <v>38.688041522447115</v>
      </c>
      <c r="T16" s="39">
        <v>36.031233469879815</v>
      </c>
      <c r="U16" s="39">
        <v>35.360561307825883</v>
      </c>
      <c r="V16" s="39">
        <v>36.127906454238165</v>
      </c>
      <c r="W16" s="39">
        <v>37.236361396342822</v>
      </c>
      <c r="X16" s="39">
        <v>34.566744281638087</v>
      </c>
      <c r="Y16" s="39">
        <v>33.983894972957799</v>
      </c>
      <c r="Z16" s="39">
        <v>34.567254063780815</v>
      </c>
      <c r="AA16" s="39">
        <v>33.339305563250036</v>
      </c>
      <c r="AB16" s="39">
        <v>31.159213491061799</v>
      </c>
      <c r="AC16" s="39">
        <v>36.546202150776324</v>
      </c>
      <c r="AD16" s="39">
        <v>34.625247928443081</v>
      </c>
      <c r="AE16" s="39">
        <v>30.804575334232219</v>
      </c>
      <c r="AF16" s="39">
        <v>32.578920021148164</v>
      </c>
      <c r="AG16" s="39">
        <v>34.345095249161055</v>
      </c>
      <c r="AH16" s="39">
        <v>33.461012418295574</v>
      </c>
      <c r="AI16" s="39">
        <v>32.892877648789764</v>
      </c>
      <c r="AJ16" s="39">
        <v>29.321582271011369</v>
      </c>
      <c r="AK16" s="39">
        <v>32.26744759924712</v>
      </c>
      <c r="AL16" s="39">
        <v>36.072545870079033</v>
      </c>
      <c r="AM16" s="39">
        <v>32.110664833144988</v>
      </c>
      <c r="AN16" s="39">
        <v>28.1</v>
      </c>
      <c r="AO16" s="39">
        <v>30.972044700000001</v>
      </c>
      <c r="AP16" s="39">
        <v>32.427302954529431</v>
      </c>
      <c r="AQ16" s="39">
        <v>29.550035210412567</v>
      </c>
      <c r="AR16" s="39">
        <v>30.443616341997004</v>
      </c>
      <c r="AS16" s="39">
        <v>29.221044056780642</v>
      </c>
      <c r="AT16" s="39">
        <v>30.717205083098232</v>
      </c>
      <c r="AU16" s="39">
        <v>29.576904030574386</v>
      </c>
      <c r="AV16" s="39">
        <v>28.327038304524571</v>
      </c>
      <c r="AW16" s="39">
        <v>30.561941561794775</v>
      </c>
      <c r="AX16" s="51">
        <f t="shared" si="15"/>
        <v>30.153179612585959</v>
      </c>
      <c r="AY16" s="51">
        <f t="shared" si="16"/>
        <v>29.94879863798155</v>
      </c>
      <c r="AZ16" s="51">
        <f t="shared" si="17"/>
        <v>29.846608150679344</v>
      </c>
      <c r="BA16" s="56">
        <v>29.744417663377142</v>
      </c>
      <c r="BB16" s="39">
        <v>30.60411015728884</v>
      </c>
      <c r="BC16" s="39">
        <v>30.448326005930802</v>
      </c>
      <c r="BD16" s="39">
        <v>28.417486080855952</v>
      </c>
      <c r="BE16" s="39">
        <v>29.497066912663627</v>
      </c>
      <c r="BF16" s="39">
        <v>29.331749426814795</v>
      </c>
      <c r="BG16" s="39">
        <v>31.689097729627392</v>
      </c>
      <c r="BH16" s="39">
        <v>28.566378445019218</v>
      </c>
      <c r="BI16" s="39">
        <v>29.830226339582737</v>
      </c>
      <c r="BJ16" s="39">
        <v>29.782874146991432</v>
      </c>
      <c r="BK16" s="39">
        <v>31.303692810767881</v>
      </c>
      <c r="BL16" s="39">
        <v>29.659955918495552</v>
      </c>
      <c r="BM16" s="39">
        <v>29.844316613371969</v>
      </c>
      <c r="BN16" s="39">
        <v>30.395238285227073</v>
      </c>
      <c r="BO16" s="39">
        <v>30.877965705524218</v>
      </c>
      <c r="BP16" s="39">
        <v>31.699283769541758</v>
      </c>
      <c r="BQ16" s="39">
        <v>21.421583499132034</v>
      </c>
      <c r="BR16" s="39">
        <v>21.82514048050971</v>
      </c>
      <c r="BS16" s="39">
        <v>30.875854916909283</v>
      </c>
      <c r="BT16" s="39">
        <v>27.874659944874058</v>
      </c>
      <c r="BU16" s="39">
        <v>27.030829663603157</v>
      </c>
      <c r="BV16" s="39">
        <v>26.769112011943996</v>
      </c>
      <c r="BW16" s="39">
        <v>28.332067704749182</v>
      </c>
      <c r="BX16" s="39">
        <v>30.72901186902407</v>
      </c>
      <c r="BY16" s="39">
        <v>31.810920160622913</v>
      </c>
      <c r="BZ16" s="39">
        <v>33.827557896619275</v>
      </c>
      <c r="CA16" s="39">
        <v>30.307813628092724</v>
      </c>
      <c r="CB16" s="39">
        <v>31.712823868746437</v>
      </c>
      <c r="CC16" s="39">
        <v>31.640647467667549</v>
      </c>
      <c r="CD16" s="39">
        <v>31.617800139900453</v>
      </c>
      <c r="CE16" s="39">
        <v>32.446526571235538</v>
      </c>
      <c r="CF16" s="39">
        <v>33.06106636033546</v>
      </c>
      <c r="CG16" s="39">
        <v>32.135126538752495</v>
      </c>
      <c r="CH16" s="39">
        <v>31.583987643197325</v>
      </c>
      <c r="CI16" s="39">
        <v>29.575634453842142</v>
      </c>
      <c r="CJ16" s="39">
        <v>31.8</v>
      </c>
    </row>
    <row r="17" spans="1:88" s="21" customFormat="1" ht="18" customHeight="1" x14ac:dyDescent="0.25">
      <c r="A17" s="55" t="s">
        <v>112</v>
      </c>
      <c r="B17" s="39">
        <v>60.158583860942706</v>
      </c>
      <c r="C17" s="39">
        <v>58.248708448572771</v>
      </c>
      <c r="D17" s="39">
        <v>56.90919534389193</v>
      </c>
      <c r="E17" s="39">
        <v>55.786194343321192</v>
      </c>
      <c r="F17" s="39">
        <v>55.659265099848199</v>
      </c>
      <c r="G17" s="39">
        <v>57.795398771532987</v>
      </c>
      <c r="H17" s="39">
        <v>55.199587808121734</v>
      </c>
      <c r="I17" s="39">
        <v>53.846373274776049</v>
      </c>
      <c r="J17" s="39">
        <v>53.084283806372923</v>
      </c>
      <c r="K17" s="39">
        <v>51.708432729249289</v>
      </c>
      <c r="L17" s="39">
        <v>52.397590215569501</v>
      </c>
      <c r="M17" s="39">
        <v>52.777862267779227</v>
      </c>
      <c r="N17" s="39">
        <v>51.025862078667807</v>
      </c>
      <c r="O17" s="39">
        <v>51.530156386262838</v>
      </c>
      <c r="P17" s="39">
        <v>48.540464848424463</v>
      </c>
      <c r="Q17" s="39">
        <v>49.138711371983781</v>
      </c>
      <c r="R17" s="51">
        <f t="shared" si="14"/>
        <v>48.772831509327858</v>
      </c>
      <c r="S17" s="39">
        <v>48.406951646671928</v>
      </c>
      <c r="T17" s="39">
        <v>44.028383758539917</v>
      </c>
      <c r="U17" s="39">
        <v>43.427225459444962</v>
      </c>
      <c r="V17" s="39">
        <v>44.111162232722812</v>
      </c>
      <c r="W17" s="39">
        <v>47.014114763465152</v>
      </c>
      <c r="X17" s="39">
        <v>44.914206444238545</v>
      </c>
      <c r="Y17" s="39">
        <v>43.307442526378189</v>
      </c>
      <c r="Z17" s="39">
        <v>43.766718165679059</v>
      </c>
      <c r="AA17" s="39">
        <v>46.313006255647274</v>
      </c>
      <c r="AB17" s="39">
        <v>43.435461020645619</v>
      </c>
      <c r="AC17" s="39">
        <v>43.707164050294487</v>
      </c>
      <c r="AD17" s="39">
        <v>43.982874816429607</v>
      </c>
      <c r="AE17" s="39">
        <v>43.465059060381492</v>
      </c>
      <c r="AF17" s="39">
        <v>42.938033951018326</v>
      </c>
      <c r="AG17" s="39">
        <v>43.669719351910565</v>
      </c>
      <c r="AH17" s="39">
        <v>42.665289256198349</v>
      </c>
      <c r="AI17" s="39">
        <v>43.716495291524325</v>
      </c>
      <c r="AJ17" s="39">
        <v>43.24635029863289</v>
      </c>
      <c r="AK17" s="39">
        <v>44.355099662611501</v>
      </c>
      <c r="AL17" s="39">
        <v>45.457793712597464</v>
      </c>
      <c r="AM17" s="39">
        <v>46.462216652867596</v>
      </c>
      <c r="AN17" s="39">
        <v>42.6</v>
      </c>
      <c r="AO17" s="39">
        <v>47.074744000000003</v>
      </c>
      <c r="AP17" s="39">
        <v>46.370603578398246</v>
      </c>
      <c r="AQ17" s="39">
        <v>45.606579640815667</v>
      </c>
      <c r="AR17" s="39">
        <v>43.23839813547329</v>
      </c>
      <c r="AS17" s="39">
        <v>43.655400617255616</v>
      </c>
      <c r="AT17" s="39">
        <v>45.104086269012484</v>
      </c>
      <c r="AU17" s="39">
        <v>47.875309008207253</v>
      </c>
      <c r="AV17" s="39">
        <v>42.176390362966423</v>
      </c>
      <c r="AW17" s="39">
        <v>44.030916234112581</v>
      </c>
      <c r="AX17" s="51">
        <f t="shared" si="15"/>
        <v>44.09940019392576</v>
      </c>
      <c r="AY17" s="51">
        <f t="shared" si="16"/>
        <v>44.133642173832342</v>
      </c>
      <c r="AZ17" s="51">
        <f t="shared" si="17"/>
        <v>44.150763163785641</v>
      </c>
      <c r="BA17" s="56">
        <v>44.167884153738932</v>
      </c>
      <c r="BB17" s="39">
        <v>45.934309766538121</v>
      </c>
      <c r="BC17" s="39">
        <v>45.360033857970258</v>
      </c>
      <c r="BD17" s="39">
        <v>44.761875419215627</v>
      </c>
      <c r="BE17" s="39">
        <v>46.04261933052485</v>
      </c>
      <c r="BF17" s="39">
        <v>46.858540347419478</v>
      </c>
      <c r="BG17" s="39">
        <v>46.614020462880958</v>
      </c>
      <c r="BH17" s="39">
        <v>44.545631507491869</v>
      </c>
      <c r="BI17" s="39">
        <v>45.372969801400032</v>
      </c>
      <c r="BJ17" s="39">
        <v>47.846689909787379</v>
      </c>
      <c r="BK17" s="39">
        <v>47.526190579841895</v>
      </c>
      <c r="BL17" s="39">
        <v>47.439118856788149</v>
      </c>
      <c r="BM17" s="39">
        <v>47.321074161107518</v>
      </c>
      <c r="BN17" s="39">
        <v>48.250598713802006</v>
      </c>
      <c r="BO17" s="39">
        <v>49.206729019670007</v>
      </c>
      <c r="BP17" s="39">
        <v>49.754468976739055</v>
      </c>
      <c r="BQ17" s="39">
        <v>38.601107558150616</v>
      </c>
      <c r="BR17" s="39">
        <v>46.180107338692636</v>
      </c>
      <c r="BS17" s="39">
        <v>46.861076558776915</v>
      </c>
      <c r="BT17" s="39">
        <v>47.597403494087118</v>
      </c>
      <c r="BU17" s="39">
        <v>44.824706508516655</v>
      </c>
      <c r="BV17" s="39">
        <v>49.151780483388194</v>
      </c>
      <c r="BW17" s="39">
        <v>48.656347975175322</v>
      </c>
      <c r="BX17" s="39">
        <v>53.273956932946533</v>
      </c>
      <c r="BY17" s="39">
        <v>55.011311712836388</v>
      </c>
      <c r="BZ17" s="39">
        <v>53.767041251462864</v>
      </c>
      <c r="CA17" s="39">
        <v>50.947385346274402</v>
      </c>
      <c r="CB17" s="39">
        <v>52.076549670398762</v>
      </c>
      <c r="CC17" s="39">
        <v>52.221121401831162</v>
      </c>
      <c r="CD17" s="39">
        <v>50.63872465441451</v>
      </c>
      <c r="CE17" s="39">
        <v>52.406108945846967</v>
      </c>
      <c r="CF17" s="39">
        <v>49.333374660488253</v>
      </c>
      <c r="CG17" s="39">
        <v>53.337152294059308</v>
      </c>
      <c r="CH17" s="39">
        <v>53.052229088418379</v>
      </c>
      <c r="CI17" s="39">
        <v>53.215141050148752</v>
      </c>
      <c r="CJ17" s="39">
        <v>49.8</v>
      </c>
    </row>
    <row r="18" spans="1:88" s="21" customFormat="1" ht="18" customHeight="1" thickBot="1" x14ac:dyDescent="0.3">
      <c r="A18" s="55" t="s">
        <v>113</v>
      </c>
      <c r="B18" s="39">
        <v>60.299949586039382</v>
      </c>
      <c r="C18" s="39">
        <v>64.754075476582656</v>
      </c>
      <c r="D18" s="39">
        <v>61.771786106577153</v>
      </c>
      <c r="E18" s="39">
        <v>58.819104264317758</v>
      </c>
      <c r="F18" s="39">
        <v>60.443254713586228</v>
      </c>
      <c r="G18" s="39">
        <v>61.827411167512693</v>
      </c>
      <c r="H18" s="39">
        <v>61.626875487512045</v>
      </c>
      <c r="I18" s="39">
        <v>58.037917395131991</v>
      </c>
      <c r="J18" s="39">
        <v>58.534250210056157</v>
      </c>
      <c r="K18" s="39">
        <v>57.708235598621741</v>
      </c>
      <c r="L18" s="39">
        <v>55.505486567369545</v>
      </c>
      <c r="M18" s="39">
        <v>55.878653113087672</v>
      </c>
      <c r="N18" s="39">
        <v>53.898120777686806</v>
      </c>
      <c r="O18" s="39">
        <v>52.135712914409616</v>
      </c>
      <c r="P18" s="39">
        <v>51.088798508727329</v>
      </c>
      <c r="Q18" s="39">
        <v>54.270264212266397</v>
      </c>
      <c r="R18" s="51">
        <f t="shared" si="14"/>
        <v>50.954936394169565</v>
      </c>
      <c r="S18" s="39">
        <v>47.639608576072732</v>
      </c>
      <c r="T18" s="39">
        <v>45.960409481177074</v>
      </c>
      <c r="U18" s="39">
        <v>45.132893403336048</v>
      </c>
      <c r="V18" s="39">
        <v>46.363846414716043</v>
      </c>
      <c r="W18" s="39">
        <v>46.02821441723173</v>
      </c>
      <c r="X18" s="39">
        <v>43.178739999538472</v>
      </c>
      <c r="Y18" s="39">
        <v>46.531145408778237</v>
      </c>
      <c r="Z18" s="39">
        <v>48.056477707274027</v>
      </c>
      <c r="AA18" s="39">
        <v>48.453722315451714</v>
      </c>
      <c r="AB18" s="39">
        <v>48.80056829565946</v>
      </c>
      <c r="AC18" s="39">
        <v>44.219272047770396</v>
      </c>
      <c r="AD18" s="39">
        <v>47.544641365995737</v>
      </c>
      <c r="AE18" s="39">
        <v>46.243737184630476</v>
      </c>
      <c r="AF18" s="39">
        <v>47.856330483912387</v>
      </c>
      <c r="AG18" s="39">
        <v>45.016163078115348</v>
      </c>
      <c r="AH18" s="39">
        <v>42.774614910659274</v>
      </c>
      <c r="AI18" s="39">
        <v>43.687776894556329</v>
      </c>
      <c r="AJ18" s="39">
        <v>39.570751792718653</v>
      </c>
      <c r="AK18" s="39">
        <v>43.201560133725749</v>
      </c>
      <c r="AL18" s="39">
        <v>39.730249502266282</v>
      </c>
      <c r="AM18" s="39">
        <v>46.266168582914233</v>
      </c>
      <c r="AN18" s="39">
        <v>45.4</v>
      </c>
      <c r="AO18" s="39">
        <v>46.375466199999998</v>
      </c>
      <c r="AP18" s="39">
        <v>46.033324675580864</v>
      </c>
      <c r="AQ18" s="39">
        <v>42.548506061292933</v>
      </c>
      <c r="AR18" s="39">
        <v>46.054712903019926</v>
      </c>
      <c r="AS18" s="39">
        <v>48.527170120658234</v>
      </c>
      <c r="AT18" s="39">
        <v>46.261519460366721</v>
      </c>
      <c r="AU18" s="39">
        <v>48.480547188535368</v>
      </c>
      <c r="AV18" s="39">
        <v>47.534234330866312</v>
      </c>
      <c r="AW18" s="39">
        <v>46.450227610635721</v>
      </c>
      <c r="AX18" s="51">
        <f t="shared" si="15"/>
        <v>45.793107968849611</v>
      </c>
      <c r="AY18" s="51">
        <f t="shared" si="16"/>
        <v>45.464548147956563</v>
      </c>
      <c r="AZ18" s="51">
        <f t="shared" si="17"/>
        <v>45.300268237510039</v>
      </c>
      <c r="BA18" s="56">
        <v>45.135988327063508</v>
      </c>
      <c r="BB18" s="39">
        <v>45.534144167641408</v>
      </c>
      <c r="BC18" s="39">
        <v>42.94880580725399</v>
      </c>
      <c r="BD18" s="39">
        <v>46.168641757473154</v>
      </c>
      <c r="BE18" s="39">
        <v>47.915835151677129</v>
      </c>
      <c r="BF18" s="39">
        <v>48.782776552030924</v>
      </c>
      <c r="BG18" s="39">
        <v>48.311292822994503</v>
      </c>
      <c r="BH18" s="39">
        <v>45.345764024981243</v>
      </c>
      <c r="BI18" s="39">
        <v>50.097277781338953</v>
      </c>
      <c r="BJ18" s="39">
        <v>49.709117376101311</v>
      </c>
      <c r="BK18" s="39">
        <v>50.979984763487771</v>
      </c>
      <c r="BL18" s="39">
        <v>48.14668681005854</v>
      </c>
      <c r="BM18" s="39">
        <v>46.808792285239633</v>
      </c>
      <c r="BN18" s="39">
        <v>49.272699404850911</v>
      </c>
      <c r="BO18" s="39">
        <v>52.092303252595897</v>
      </c>
      <c r="BP18" s="39">
        <v>51.600270977529469</v>
      </c>
      <c r="BQ18" s="39">
        <v>33.035242974693368</v>
      </c>
      <c r="BR18" s="39">
        <v>41.727449680220744</v>
      </c>
      <c r="BS18" s="39">
        <v>45.596436609903037</v>
      </c>
      <c r="BT18" s="39">
        <v>46.643863319529508</v>
      </c>
      <c r="BU18" s="39">
        <v>52.110113970580926</v>
      </c>
      <c r="BV18" s="39">
        <v>54.389506101930408</v>
      </c>
      <c r="BW18" s="39">
        <v>48.036647634682474</v>
      </c>
      <c r="BX18" s="39">
        <v>51.086774772110829</v>
      </c>
      <c r="BY18" s="39">
        <v>53.200093423642855</v>
      </c>
      <c r="BZ18" s="39">
        <v>54.102334157482289</v>
      </c>
      <c r="CA18" s="39">
        <v>52.43998539931841</v>
      </c>
      <c r="CB18" s="39">
        <v>55.102744575402937</v>
      </c>
      <c r="CC18" s="39">
        <v>50.872876253393116</v>
      </c>
      <c r="CD18" s="39">
        <v>50.656648519088165</v>
      </c>
      <c r="CE18" s="39">
        <v>46.657953788868888</v>
      </c>
      <c r="CF18" s="39">
        <v>47.508711438663681</v>
      </c>
      <c r="CG18" s="39">
        <v>50.37505581187677</v>
      </c>
      <c r="CH18" s="39">
        <v>50.754908890306339</v>
      </c>
      <c r="CI18" s="39">
        <v>55.032930752775108</v>
      </c>
      <c r="CJ18" s="39">
        <v>48.5</v>
      </c>
    </row>
    <row r="19" spans="1:88" s="21" customFormat="1" ht="30" customHeight="1" thickBot="1" x14ac:dyDescent="0.3">
      <c r="A19" s="52" t="s">
        <v>114</v>
      </c>
      <c r="B19" s="53">
        <f>+AVERAGE(B20:B25)</f>
        <v>50.582602618349632</v>
      </c>
      <c r="C19" s="53">
        <f t="shared" ref="C19:BN19" si="18">+AVERAGE(C20:C25)</f>
        <v>50.298332363703118</v>
      </c>
      <c r="D19" s="53">
        <f t="shared" si="18"/>
        <v>48.70699405629373</v>
      </c>
      <c r="E19" s="53">
        <f t="shared" si="18"/>
        <v>49.229779442116751</v>
      </c>
      <c r="F19" s="53">
        <f t="shared" si="18"/>
        <v>49.355026971542237</v>
      </c>
      <c r="G19" s="53">
        <f t="shared" si="18"/>
        <v>49.767380974360151</v>
      </c>
      <c r="H19" s="53">
        <f t="shared" si="18"/>
        <v>48.390473531606297</v>
      </c>
      <c r="I19" s="53">
        <f t="shared" si="18"/>
        <v>48.271257556868136</v>
      </c>
      <c r="J19" s="53">
        <f t="shared" si="18"/>
        <v>48.085203034055077</v>
      </c>
      <c r="K19" s="53">
        <f t="shared" si="18"/>
        <v>47.796379303515714</v>
      </c>
      <c r="L19" s="53">
        <f t="shared" si="18"/>
        <v>45.687640280464258</v>
      </c>
      <c r="M19" s="53">
        <f t="shared" si="18"/>
        <v>45.197385490459027</v>
      </c>
      <c r="N19" s="53">
        <f t="shared" si="18"/>
        <v>45.023485429752277</v>
      </c>
      <c r="O19" s="53">
        <f t="shared" si="18"/>
        <v>45.035397919401156</v>
      </c>
      <c r="P19" s="53">
        <f t="shared" si="18"/>
        <v>43.942489208930176</v>
      </c>
      <c r="Q19" s="53">
        <f t="shared" si="18"/>
        <v>43.019511459428628</v>
      </c>
      <c r="R19" s="53">
        <f t="shared" si="18"/>
        <v>42.718295944360229</v>
      </c>
      <c r="S19" s="53">
        <f t="shared" si="18"/>
        <v>42.417080429291836</v>
      </c>
      <c r="T19" s="53">
        <f t="shared" si="18"/>
        <v>40.415076379366084</v>
      </c>
      <c r="U19" s="53">
        <f t="shared" si="18"/>
        <v>39.172218414306322</v>
      </c>
      <c r="V19" s="53">
        <f t="shared" si="18"/>
        <v>39.834504769961377</v>
      </c>
      <c r="W19" s="53">
        <f t="shared" si="18"/>
        <v>41.17467856869348</v>
      </c>
      <c r="X19" s="53">
        <f t="shared" si="18"/>
        <v>39.455875756758424</v>
      </c>
      <c r="Y19" s="53">
        <f t="shared" si="18"/>
        <v>39.406866450526415</v>
      </c>
      <c r="Z19" s="53">
        <f t="shared" si="18"/>
        <v>39.99215005680194</v>
      </c>
      <c r="AA19" s="53">
        <f t="shared" si="18"/>
        <v>39.507668315832596</v>
      </c>
      <c r="AB19" s="53">
        <f t="shared" si="18"/>
        <v>38.943185476446665</v>
      </c>
      <c r="AC19" s="53">
        <f t="shared" si="18"/>
        <v>41.080353673798705</v>
      </c>
      <c r="AD19" s="53">
        <f t="shared" si="18"/>
        <v>39.592016904535946</v>
      </c>
      <c r="AE19" s="53">
        <f t="shared" si="18"/>
        <v>37.828401321888272</v>
      </c>
      <c r="AF19" s="53">
        <f t="shared" si="18"/>
        <v>38.6595897648834</v>
      </c>
      <c r="AG19" s="53">
        <f t="shared" si="18"/>
        <v>39.558801833724324</v>
      </c>
      <c r="AH19" s="53">
        <f t="shared" si="18"/>
        <v>38.355406226557029</v>
      </c>
      <c r="AI19" s="53">
        <f t="shared" si="18"/>
        <v>38.212945105039459</v>
      </c>
      <c r="AJ19" s="53">
        <f t="shared" si="18"/>
        <v>37.192092043621436</v>
      </c>
      <c r="AK19" s="53">
        <f t="shared" si="18"/>
        <v>39.343357929080518</v>
      </c>
      <c r="AL19" s="53">
        <f t="shared" si="18"/>
        <v>40.540834013937889</v>
      </c>
      <c r="AM19" s="53">
        <f t="shared" si="18"/>
        <v>39.166350685296059</v>
      </c>
      <c r="AN19" s="53">
        <f t="shared" si="18"/>
        <v>36.966666666666669</v>
      </c>
      <c r="AO19" s="53">
        <f t="shared" si="18"/>
        <v>39.527954583333333</v>
      </c>
      <c r="AP19" s="53">
        <f t="shared" si="18"/>
        <v>39.11850439932951</v>
      </c>
      <c r="AQ19" s="53">
        <f t="shared" si="18"/>
        <v>37.383105335250015</v>
      </c>
      <c r="AR19" s="53">
        <f t="shared" si="18"/>
        <v>37.752147730382866</v>
      </c>
      <c r="AS19" s="53">
        <f t="shared" si="18"/>
        <v>37.824758623895626</v>
      </c>
      <c r="AT19" s="53">
        <f t="shared" si="18"/>
        <v>39.022507998736813</v>
      </c>
      <c r="AU19" s="53">
        <f t="shared" si="18"/>
        <v>38.870831799177985</v>
      </c>
      <c r="AV19" s="53">
        <f t="shared" si="18"/>
        <v>36.437120997863232</v>
      </c>
      <c r="AW19" s="53">
        <f t="shared" si="18"/>
        <v>38.233024577327122</v>
      </c>
      <c r="AX19" s="53">
        <f t="shared" si="18"/>
        <v>38.103037253289145</v>
      </c>
      <c r="AY19" s="53">
        <f t="shared" si="18"/>
        <v>38.03804359127016</v>
      </c>
      <c r="AZ19" s="53">
        <f t="shared" si="18"/>
        <v>38.00554676026065</v>
      </c>
      <c r="BA19" s="53">
        <f t="shared" si="18"/>
        <v>37.973049929251161</v>
      </c>
      <c r="BB19" s="53">
        <f t="shared" si="18"/>
        <v>38.35816102690724</v>
      </c>
      <c r="BC19" s="53">
        <f t="shared" si="18"/>
        <v>39.684551571369958</v>
      </c>
      <c r="BD19" s="53">
        <f t="shared" si="18"/>
        <v>38.52343213230747</v>
      </c>
      <c r="BE19" s="53">
        <f t="shared" si="18"/>
        <v>38.778658147619005</v>
      </c>
      <c r="BF19" s="53">
        <f t="shared" si="18"/>
        <v>40.284231321944972</v>
      </c>
      <c r="BG19" s="53">
        <f t="shared" si="18"/>
        <v>39.83476634857589</v>
      </c>
      <c r="BH19" s="53">
        <f t="shared" si="18"/>
        <v>39.106816784306581</v>
      </c>
      <c r="BI19" s="53">
        <f t="shared" si="18"/>
        <v>39.618581381239096</v>
      </c>
      <c r="BJ19" s="53">
        <f t="shared" si="18"/>
        <v>40.312364159402314</v>
      </c>
      <c r="BK19" s="53">
        <f t="shared" si="18"/>
        <v>41.856561711132763</v>
      </c>
      <c r="BL19" s="53">
        <f t="shared" si="18"/>
        <v>41.956517373674608</v>
      </c>
      <c r="BM19" s="53">
        <f t="shared" si="18"/>
        <v>41.443578658167212</v>
      </c>
      <c r="BN19" s="53">
        <f t="shared" si="18"/>
        <v>40.798695551924006</v>
      </c>
      <c r="BO19" s="53">
        <f t="shared" ref="BO19:CH19" si="19">+AVERAGE(BO20:BO25)</f>
        <v>43.608278335964457</v>
      </c>
      <c r="BP19" s="53">
        <f t="shared" si="19"/>
        <v>43.032695530197486</v>
      </c>
      <c r="BQ19" s="53">
        <f t="shared" si="19"/>
        <v>29.295198313921034</v>
      </c>
      <c r="BR19" s="53">
        <f t="shared" si="19"/>
        <v>35.346532679200955</v>
      </c>
      <c r="BS19" s="53">
        <f t="shared" si="19"/>
        <v>36.688317888534748</v>
      </c>
      <c r="BT19" s="53">
        <f t="shared" si="19"/>
        <v>36.960799949896902</v>
      </c>
      <c r="BU19" s="53">
        <f t="shared" si="19"/>
        <v>38.679215218896765</v>
      </c>
      <c r="BV19" s="53">
        <f t="shared" si="19"/>
        <v>40.754746094823624</v>
      </c>
      <c r="BW19" s="53">
        <f t="shared" si="19"/>
        <v>39.989354258738466</v>
      </c>
      <c r="BX19" s="53">
        <f t="shared" si="19"/>
        <v>44.108344995679211</v>
      </c>
      <c r="BY19" s="53">
        <f t="shared" si="19"/>
        <v>44.308714490839073</v>
      </c>
      <c r="BZ19" s="53">
        <f t="shared" si="19"/>
        <v>43.282155579500341</v>
      </c>
      <c r="CA19" s="53">
        <f t="shared" si="19"/>
        <v>41.747239917763189</v>
      </c>
      <c r="CB19" s="53">
        <f t="shared" si="19"/>
        <v>43.666474025830944</v>
      </c>
      <c r="CC19" s="53">
        <f t="shared" si="19"/>
        <v>43.987588102349299</v>
      </c>
      <c r="CD19" s="53">
        <f t="shared" si="19"/>
        <v>42.539812963725772</v>
      </c>
      <c r="CE19" s="53">
        <f t="shared" si="19"/>
        <v>43.348536419898302</v>
      </c>
      <c r="CF19" s="53">
        <f>+AVERAGE(CF20:CF25)</f>
        <v>42.733756427591565</v>
      </c>
      <c r="CG19" s="53">
        <f t="shared" si="19"/>
        <v>43.565304135212749</v>
      </c>
      <c r="CH19" s="53">
        <f t="shared" si="19"/>
        <v>45.025339477388691</v>
      </c>
      <c r="CI19" s="53">
        <f>+AVERAGE(CI20:CI25)</f>
        <v>44.485015632308027</v>
      </c>
      <c r="CJ19" s="54">
        <f>+AVERAGE(CJ20:CJ25)</f>
        <v>43.5</v>
      </c>
    </row>
    <row r="20" spans="1:88" s="21" customFormat="1" ht="18" customHeight="1" x14ac:dyDescent="0.25">
      <c r="A20" s="55" t="s">
        <v>115</v>
      </c>
      <c r="B20" s="57">
        <v>77.012893937375921</v>
      </c>
      <c r="C20" s="57">
        <v>74.759996773065851</v>
      </c>
      <c r="D20" s="57">
        <v>70.684279269305847</v>
      </c>
      <c r="E20" s="57">
        <v>74.484326362967082</v>
      </c>
      <c r="F20" s="57">
        <v>76.481823300099066</v>
      </c>
      <c r="G20" s="57">
        <v>74.208464320933516</v>
      </c>
      <c r="H20" s="57">
        <v>74.782913267465446</v>
      </c>
      <c r="I20" s="57">
        <v>72.073523346875348</v>
      </c>
      <c r="J20" s="57">
        <v>73.477374679186653</v>
      </c>
      <c r="K20" s="57">
        <v>75.793080299182378</v>
      </c>
      <c r="L20" s="57">
        <v>69.118907706726006</v>
      </c>
      <c r="M20" s="57">
        <v>66.796166686437658</v>
      </c>
      <c r="N20" s="57">
        <v>69.520182322873595</v>
      </c>
      <c r="O20" s="57">
        <v>69.557615228326938</v>
      </c>
      <c r="P20" s="57">
        <v>71.112105616469009</v>
      </c>
      <c r="Q20" s="57">
        <v>68.248375902109828</v>
      </c>
      <c r="R20" s="51">
        <f t="shared" ref="R20:R25" si="20">+(Q20+S20)/2</f>
        <v>68.151373625090898</v>
      </c>
      <c r="S20" s="57">
        <v>68.054371348071967</v>
      </c>
      <c r="T20" s="57">
        <v>66.262243862389823</v>
      </c>
      <c r="U20" s="57">
        <v>61.936613590881407</v>
      </c>
      <c r="V20" s="57">
        <v>64.138850227010039</v>
      </c>
      <c r="W20" s="57">
        <v>65.289627942509938</v>
      </c>
      <c r="X20" s="57">
        <v>64.862140848394262</v>
      </c>
      <c r="Y20" s="57">
        <v>63.211019271914118</v>
      </c>
      <c r="Z20" s="57">
        <v>65.977803597900547</v>
      </c>
      <c r="AA20" s="57">
        <v>60.676222812575475</v>
      </c>
      <c r="AB20" s="57">
        <v>63.753257983582202</v>
      </c>
      <c r="AC20" s="57">
        <v>68.720451083015249</v>
      </c>
      <c r="AD20" s="57">
        <v>63.023475230968998</v>
      </c>
      <c r="AE20" s="57">
        <v>63.97624488476923</v>
      </c>
      <c r="AF20" s="58">
        <v>66.297109964406758</v>
      </c>
      <c r="AG20" s="58">
        <v>67.499632364256911</v>
      </c>
      <c r="AH20" s="58">
        <v>63.53391601051618</v>
      </c>
      <c r="AI20" s="58">
        <v>60.827426984122148</v>
      </c>
      <c r="AJ20" s="58">
        <v>60.384005886015061</v>
      </c>
      <c r="AK20" s="58">
        <v>68.496552597350274</v>
      </c>
      <c r="AL20" s="58">
        <v>70.16517138256269</v>
      </c>
      <c r="AM20" s="58">
        <v>61.252652218848702</v>
      </c>
      <c r="AN20" s="58">
        <v>60</v>
      </c>
      <c r="AO20" s="58">
        <v>64.428283899999997</v>
      </c>
      <c r="AP20" s="58">
        <v>59.09697845245028</v>
      </c>
      <c r="AQ20" s="58">
        <v>56.397920478920007</v>
      </c>
      <c r="AR20" s="58">
        <v>63.585021367315555</v>
      </c>
      <c r="AS20" s="58">
        <v>60.814304101995965</v>
      </c>
      <c r="AT20" s="58">
        <v>65.842111452715756</v>
      </c>
      <c r="AU20" s="58">
        <v>61.153260565171067</v>
      </c>
      <c r="AV20" s="58">
        <v>57.608609455333657</v>
      </c>
      <c r="AW20" s="58">
        <v>64.313695508129641</v>
      </c>
      <c r="AX20" s="51">
        <f t="shared" ref="AX20:AX25" si="21">+(AW20+BA20)/2</f>
        <v>60.654207561008171</v>
      </c>
      <c r="AY20" s="51">
        <f t="shared" ref="AY20:AY25" si="22">+(AX20+BA20)/2</f>
        <v>58.82446358744744</v>
      </c>
      <c r="AZ20" s="51">
        <f t="shared" ref="AZ20:AZ25" si="23">+(AY20+BA20)/2</f>
        <v>57.909591600667071</v>
      </c>
      <c r="BA20" s="58">
        <v>56.994719613886701</v>
      </c>
      <c r="BB20" s="58">
        <v>56.62178382474233</v>
      </c>
      <c r="BC20" s="58">
        <v>65.880721712364704</v>
      </c>
      <c r="BD20" s="58">
        <v>58.834798108426135</v>
      </c>
      <c r="BE20" s="58">
        <v>59.165746506236218</v>
      </c>
      <c r="BF20" s="58">
        <v>66.52654561436465</v>
      </c>
      <c r="BG20" s="58">
        <v>60.05913253748767</v>
      </c>
      <c r="BH20" s="58">
        <v>61.339444907828991</v>
      </c>
      <c r="BI20" s="58">
        <v>58.996673275869213</v>
      </c>
      <c r="BJ20" s="58">
        <v>62.427768219790359</v>
      </c>
      <c r="BK20" s="58">
        <v>63.026274718616307</v>
      </c>
      <c r="BL20" s="58">
        <v>68.686641212257697</v>
      </c>
      <c r="BM20" s="58">
        <v>67.330174691959968</v>
      </c>
      <c r="BN20" s="58">
        <v>58.7496442528616</v>
      </c>
      <c r="BO20" s="58">
        <v>70.219366471045745</v>
      </c>
      <c r="BP20" s="58">
        <v>70.636932748993686</v>
      </c>
      <c r="BQ20" s="58">
        <v>47.094496532977033</v>
      </c>
      <c r="BR20" s="58">
        <v>57.345365053322396</v>
      </c>
      <c r="BS20" s="58">
        <v>47.734796696488942</v>
      </c>
      <c r="BT20" s="58">
        <v>47.779759033532606</v>
      </c>
      <c r="BU20" s="58">
        <v>62.808715284069486</v>
      </c>
      <c r="BV20" s="58">
        <v>60.765686214806244</v>
      </c>
      <c r="BW20" s="58">
        <v>57.832535758665358</v>
      </c>
      <c r="BX20" s="58">
        <v>73.921174970801303</v>
      </c>
      <c r="BY20" s="58">
        <v>63.208539111040309</v>
      </c>
      <c r="BZ20" s="58">
        <v>62.088681569775403</v>
      </c>
      <c r="CA20" s="58">
        <v>61.867950730350564</v>
      </c>
      <c r="CB20" s="58">
        <v>70.1431332709641</v>
      </c>
      <c r="CC20" s="58">
        <v>66.220040521172109</v>
      </c>
      <c r="CD20" s="58">
        <v>59.393518019043967</v>
      </c>
      <c r="CE20" s="58">
        <v>68.636459451172769</v>
      </c>
      <c r="CF20" s="58">
        <v>68.251187098829476</v>
      </c>
      <c r="CG20" s="58">
        <v>65.329757969439882</v>
      </c>
      <c r="CH20" s="58">
        <v>66.980900428982054</v>
      </c>
      <c r="CI20" s="58">
        <v>65.782941969538882</v>
      </c>
      <c r="CJ20" s="58">
        <v>61.8</v>
      </c>
    </row>
    <row r="21" spans="1:88" s="21" customFormat="1" ht="18" customHeight="1" x14ac:dyDescent="0.25">
      <c r="A21" s="55" t="s">
        <v>116</v>
      </c>
      <c r="B21" s="57">
        <v>64.765574298399955</v>
      </c>
      <c r="C21" s="57">
        <v>62.843354490555313</v>
      </c>
      <c r="D21" s="57">
        <v>61.107106017698442</v>
      </c>
      <c r="E21" s="57">
        <v>60.524818472893749</v>
      </c>
      <c r="F21" s="57">
        <v>63.272000501895555</v>
      </c>
      <c r="G21" s="57">
        <v>64.403811002328666</v>
      </c>
      <c r="H21" s="57">
        <v>62.204460046522335</v>
      </c>
      <c r="I21" s="57">
        <v>62.044203168883605</v>
      </c>
      <c r="J21" s="57">
        <v>61.123419140147369</v>
      </c>
      <c r="K21" s="57">
        <v>61.395200774356681</v>
      </c>
      <c r="L21" s="57">
        <v>59.086950169164119</v>
      </c>
      <c r="M21" s="57">
        <v>59.290991411286932</v>
      </c>
      <c r="N21" s="57">
        <v>57.570821466458497</v>
      </c>
      <c r="O21" s="57">
        <v>58.220211553770355</v>
      </c>
      <c r="P21" s="57">
        <v>54.251854711545775</v>
      </c>
      <c r="Q21" s="57">
        <v>54.423489553924334</v>
      </c>
      <c r="R21" s="51">
        <f t="shared" si="20"/>
        <v>54.86406590584096</v>
      </c>
      <c r="S21" s="57">
        <v>55.304642257757578</v>
      </c>
      <c r="T21" s="57">
        <v>51.447437512226422</v>
      </c>
      <c r="U21" s="57">
        <v>50.348452376220401</v>
      </c>
      <c r="V21" s="57">
        <v>52.488549597506164</v>
      </c>
      <c r="W21" s="57">
        <v>53.906974239296289</v>
      </c>
      <c r="X21" s="57">
        <v>50.987796345454882</v>
      </c>
      <c r="Y21" s="57">
        <v>51.099640776549585</v>
      </c>
      <c r="Z21" s="57">
        <v>51.388173384978941</v>
      </c>
      <c r="AA21" s="57">
        <v>51.787702542164851</v>
      </c>
      <c r="AB21" s="57">
        <v>49.357317268102321</v>
      </c>
      <c r="AC21" s="57">
        <v>51.678963755252958</v>
      </c>
      <c r="AD21" s="57">
        <v>51.170560146316426</v>
      </c>
      <c r="AE21" s="57">
        <v>47.906502083647204</v>
      </c>
      <c r="AF21" s="58">
        <v>50.751375531293988</v>
      </c>
      <c r="AG21" s="58">
        <v>51.607986811850196</v>
      </c>
      <c r="AH21" s="58">
        <v>47.742066878597115</v>
      </c>
      <c r="AI21" s="58">
        <v>48.231200239344943</v>
      </c>
      <c r="AJ21" s="58">
        <v>48.983572285671286</v>
      </c>
      <c r="AK21" s="58">
        <v>47.176241480038946</v>
      </c>
      <c r="AL21" s="58">
        <v>52.563891410267679</v>
      </c>
      <c r="AM21" s="58">
        <v>52.279599296320924</v>
      </c>
      <c r="AN21" s="58">
        <v>46.9</v>
      </c>
      <c r="AO21" s="58">
        <v>52.138905600000001</v>
      </c>
      <c r="AP21" s="58">
        <v>52.195819882833362</v>
      </c>
      <c r="AQ21" s="58">
        <v>51.040856877921392</v>
      </c>
      <c r="AR21" s="58">
        <v>47.808382750976151</v>
      </c>
      <c r="AS21" s="58">
        <v>47.551926216250777</v>
      </c>
      <c r="AT21" s="58">
        <v>48.571675310095316</v>
      </c>
      <c r="AU21" s="58">
        <v>49.12157914436365</v>
      </c>
      <c r="AV21" s="58">
        <v>48.002000773968035</v>
      </c>
      <c r="AW21" s="58">
        <v>50.807876163807528</v>
      </c>
      <c r="AX21" s="51">
        <f t="shared" si="21"/>
        <v>50.980037258470873</v>
      </c>
      <c r="AY21" s="51">
        <f t="shared" si="22"/>
        <v>51.066117805802548</v>
      </c>
      <c r="AZ21" s="51">
        <f t="shared" si="23"/>
        <v>51.109158079468386</v>
      </c>
      <c r="BA21" s="58">
        <v>51.152198353134217</v>
      </c>
      <c r="BB21" s="58">
        <v>49.140521090178325</v>
      </c>
      <c r="BC21" s="58">
        <v>50.278590163455782</v>
      </c>
      <c r="BD21" s="58">
        <v>48.971170055854245</v>
      </c>
      <c r="BE21" s="58">
        <v>48.45215728983986</v>
      </c>
      <c r="BF21" s="58">
        <v>47.535106707682736</v>
      </c>
      <c r="BG21" s="58">
        <v>49.823922673094792</v>
      </c>
      <c r="BH21" s="58">
        <v>47.744802019231884</v>
      </c>
      <c r="BI21" s="58">
        <v>51.536290897394188</v>
      </c>
      <c r="BJ21" s="58">
        <v>54.112673627671825</v>
      </c>
      <c r="BK21" s="58">
        <v>52.895723847367037</v>
      </c>
      <c r="BL21" s="58">
        <v>50.57254186602357</v>
      </c>
      <c r="BM21" s="58">
        <v>49.94989578851888</v>
      </c>
      <c r="BN21" s="58">
        <v>51.730549771285851</v>
      </c>
      <c r="BO21" s="58">
        <v>51.215072081950439</v>
      </c>
      <c r="BP21" s="58">
        <v>51.3139379240124</v>
      </c>
      <c r="BQ21" s="58">
        <v>33.330536270006604</v>
      </c>
      <c r="BR21" s="58">
        <v>40.974125756661422</v>
      </c>
      <c r="BS21" s="58">
        <v>45.812587143997391</v>
      </c>
      <c r="BT21" s="58">
        <v>42.339201561436624</v>
      </c>
      <c r="BU21" s="58">
        <v>44.590246770872227</v>
      </c>
      <c r="BV21" s="58">
        <v>49.350128680987545</v>
      </c>
      <c r="BW21" s="58">
        <v>51.863047970234888</v>
      </c>
      <c r="BX21" s="58">
        <v>52.640750140672729</v>
      </c>
      <c r="BY21" s="58">
        <v>55.367983544781474</v>
      </c>
      <c r="BZ21" s="58">
        <v>51.961456582146013</v>
      </c>
      <c r="CA21" s="58">
        <v>51.670955348453276</v>
      </c>
      <c r="CB21" s="58">
        <v>51.343013924081568</v>
      </c>
      <c r="CC21" s="58">
        <v>55.751334669554232</v>
      </c>
      <c r="CD21" s="58">
        <v>55.618038466692042</v>
      </c>
      <c r="CE21" s="58">
        <v>49.563109497158607</v>
      </c>
      <c r="CF21" s="58">
        <v>50.207730612627962</v>
      </c>
      <c r="CG21" s="58">
        <v>54.968188454121083</v>
      </c>
      <c r="CH21" s="58">
        <v>56.90765831417847</v>
      </c>
      <c r="CI21" s="58">
        <v>55.542735179163493</v>
      </c>
      <c r="CJ21" s="58">
        <v>54.8</v>
      </c>
    </row>
    <row r="22" spans="1:88" s="21" customFormat="1" ht="18" customHeight="1" x14ac:dyDescent="0.25">
      <c r="A22" s="55" t="s">
        <v>117</v>
      </c>
      <c r="B22" s="57">
        <v>61.479713365292675</v>
      </c>
      <c r="C22" s="57">
        <v>61.614310660475113</v>
      </c>
      <c r="D22" s="57">
        <v>63.814798151837806</v>
      </c>
      <c r="E22" s="57">
        <v>58.734231657541493</v>
      </c>
      <c r="F22" s="57">
        <v>58.90206854823461</v>
      </c>
      <c r="G22" s="57">
        <v>59.428662195312555</v>
      </c>
      <c r="H22" s="57">
        <v>59.042948571506507</v>
      </c>
      <c r="I22" s="57">
        <v>57.672792744306925</v>
      </c>
      <c r="J22" s="57">
        <v>58.679174205144577</v>
      </c>
      <c r="K22" s="57">
        <v>58.483384066819156</v>
      </c>
      <c r="L22" s="57">
        <v>55.721436207878043</v>
      </c>
      <c r="M22" s="57">
        <v>56.438700861261751</v>
      </c>
      <c r="N22" s="57">
        <v>54.836309642730996</v>
      </c>
      <c r="O22" s="57">
        <v>54.80080136825255</v>
      </c>
      <c r="P22" s="57">
        <v>53.320739781520878</v>
      </c>
      <c r="Q22" s="57">
        <v>52.225093396258174</v>
      </c>
      <c r="R22" s="51">
        <f t="shared" si="20"/>
        <v>52.238656131322216</v>
      </c>
      <c r="S22" s="57">
        <v>52.252218866386258</v>
      </c>
      <c r="T22" s="57">
        <v>48.156952052978873</v>
      </c>
      <c r="U22" s="57">
        <v>48.164795811854631</v>
      </c>
      <c r="V22" s="57">
        <v>47.924194896535504</v>
      </c>
      <c r="W22" s="57">
        <v>50.529460988452712</v>
      </c>
      <c r="X22" s="57">
        <v>49.111518956545567</v>
      </c>
      <c r="Y22" s="57">
        <v>47.919300822887926</v>
      </c>
      <c r="Z22" s="57">
        <v>48.179135885807369</v>
      </c>
      <c r="AA22" s="57">
        <v>51.25916519636872</v>
      </c>
      <c r="AB22" s="57">
        <v>48.31793347355498</v>
      </c>
      <c r="AC22" s="57">
        <v>49.391769272214162</v>
      </c>
      <c r="AD22" s="57">
        <v>50.523480694100364</v>
      </c>
      <c r="AE22" s="57">
        <v>47.726970096634282</v>
      </c>
      <c r="AF22" s="58">
        <v>46.759287078274205</v>
      </c>
      <c r="AG22" s="58">
        <v>48.655325980354284</v>
      </c>
      <c r="AH22" s="58">
        <v>46.903220805395144</v>
      </c>
      <c r="AI22" s="58">
        <v>48.76027296575198</v>
      </c>
      <c r="AJ22" s="58">
        <v>46.758900606181861</v>
      </c>
      <c r="AK22" s="58">
        <v>48.672133897911152</v>
      </c>
      <c r="AL22" s="58">
        <v>48.465109526142903</v>
      </c>
      <c r="AM22" s="58">
        <v>50.871679116070254</v>
      </c>
      <c r="AN22" s="58">
        <v>47.4</v>
      </c>
      <c r="AO22" s="58">
        <v>48.723243699999998</v>
      </c>
      <c r="AP22" s="58">
        <v>51.661282575460255</v>
      </c>
      <c r="AQ22" s="58">
        <v>48.249732884059405</v>
      </c>
      <c r="AR22" s="58">
        <v>51.022081621300956</v>
      </c>
      <c r="AS22" s="58">
        <v>49.491344748475413</v>
      </c>
      <c r="AT22" s="58">
        <v>48.171301139882402</v>
      </c>
      <c r="AU22" s="58">
        <v>49.928445689280395</v>
      </c>
      <c r="AV22" s="58">
        <v>46.275590811336848</v>
      </c>
      <c r="AW22" s="58">
        <v>49.371933281604989</v>
      </c>
      <c r="AX22" s="51">
        <f t="shared" si="21"/>
        <v>48.562344927161803</v>
      </c>
      <c r="AY22" s="51">
        <f t="shared" si="22"/>
        <v>48.157550749940206</v>
      </c>
      <c r="AZ22" s="51">
        <f t="shared" si="23"/>
        <v>47.955153661329405</v>
      </c>
      <c r="BA22" s="58">
        <v>47.75275657271861</v>
      </c>
      <c r="BB22" s="58">
        <v>51.793297088881666</v>
      </c>
      <c r="BC22" s="58">
        <v>50.411271602307295</v>
      </c>
      <c r="BD22" s="58">
        <v>48.633500052281207</v>
      </c>
      <c r="BE22" s="58">
        <v>49.183714290648076</v>
      </c>
      <c r="BF22" s="58">
        <v>51.845039521957737</v>
      </c>
      <c r="BG22" s="58">
        <v>50.71885805342766</v>
      </c>
      <c r="BH22" s="58">
        <v>49.884942158502973</v>
      </c>
      <c r="BI22" s="58">
        <v>48.941338767392843</v>
      </c>
      <c r="BJ22" s="58">
        <v>49.790762118769663</v>
      </c>
      <c r="BK22" s="58">
        <v>54.196244931539049</v>
      </c>
      <c r="BL22" s="58">
        <v>52.784828667052373</v>
      </c>
      <c r="BM22" s="58">
        <v>53.792701996449232</v>
      </c>
      <c r="BN22" s="58">
        <v>53.409841536137215</v>
      </c>
      <c r="BO22" s="58">
        <v>57.987717995845131</v>
      </c>
      <c r="BP22" s="58">
        <v>52.863633971853908</v>
      </c>
      <c r="BQ22" s="58">
        <v>40.175022414104916</v>
      </c>
      <c r="BR22" s="58">
        <v>46.951748360995737</v>
      </c>
      <c r="BS22" s="58">
        <v>47.839686174127671</v>
      </c>
      <c r="BT22" s="58">
        <v>50.462993544512834</v>
      </c>
      <c r="BU22" s="58">
        <v>50.119863363112117</v>
      </c>
      <c r="BV22" s="58">
        <v>54.933543348720839</v>
      </c>
      <c r="BW22" s="58">
        <v>53.611579013935518</v>
      </c>
      <c r="BX22" s="58">
        <v>55.084348656984396</v>
      </c>
      <c r="BY22" s="58">
        <v>57.446443003858469</v>
      </c>
      <c r="BZ22" s="58">
        <v>57.148098462502006</v>
      </c>
      <c r="CA22" s="58">
        <v>54.596113841420788</v>
      </c>
      <c r="CB22" s="58">
        <v>55.409293098283477</v>
      </c>
      <c r="CC22" s="58">
        <v>57.017758332260968</v>
      </c>
      <c r="CD22" s="58">
        <v>56.518948993968252</v>
      </c>
      <c r="CE22" s="58">
        <v>55.904496391673455</v>
      </c>
      <c r="CF22" s="58">
        <v>52.274919837903852</v>
      </c>
      <c r="CG22" s="58">
        <v>54.688835489575602</v>
      </c>
      <c r="CH22" s="58">
        <v>56.693063995725801</v>
      </c>
      <c r="CI22" s="58">
        <v>57.583296217776272</v>
      </c>
      <c r="CJ22" s="58">
        <v>57.1</v>
      </c>
    </row>
    <row r="23" spans="1:88" s="21" customFormat="1" ht="18" customHeight="1" x14ac:dyDescent="0.25">
      <c r="A23" s="55" t="s">
        <v>118</v>
      </c>
      <c r="B23" s="57">
        <v>41.146906446305948</v>
      </c>
      <c r="C23" s="57">
        <v>43.39934174799545</v>
      </c>
      <c r="D23" s="57">
        <v>39.538065526784024</v>
      </c>
      <c r="E23" s="57">
        <v>42.320396425549646</v>
      </c>
      <c r="F23" s="57">
        <v>41.555145378208799</v>
      </c>
      <c r="G23" s="57">
        <v>41.124896674879388</v>
      </c>
      <c r="H23" s="57">
        <v>37.230684199113618</v>
      </c>
      <c r="I23" s="57">
        <v>40.200314614610122</v>
      </c>
      <c r="J23" s="57">
        <v>39.222762861283314</v>
      </c>
      <c r="K23" s="57">
        <v>37.756929768374867</v>
      </c>
      <c r="L23" s="57">
        <v>38.823319289695299</v>
      </c>
      <c r="M23" s="57">
        <v>36.699588715216187</v>
      </c>
      <c r="N23" s="57">
        <v>34.238354989697847</v>
      </c>
      <c r="O23" s="57">
        <v>36.613241876847155</v>
      </c>
      <c r="P23" s="57">
        <v>34.496429069662717</v>
      </c>
      <c r="Q23" s="57">
        <v>36.515502053568753</v>
      </c>
      <c r="R23" s="51">
        <f t="shared" si="20"/>
        <v>34.321039533349726</v>
      </c>
      <c r="S23" s="57">
        <v>32.126577013130699</v>
      </c>
      <c r="T23" s="57">
        <v>32.177890544614854</v>
      </c>
      <c r="U23" s="57">
        <v>32.024393414096508</v>
      </c>
      <c r="V23" s="57">
        <v>30.334999141398072</v>
      </c>
      <c r="W23" s="57">
        <v>31.918382718482661</v>
      </c>
      <c r="X23" s="57">
        <v>30.275473178175616</v>
      </c>
      <c r="Y23" s="57">
        <v>32.710420234488211</v>
      </c>
      <c r="Z23" s="57">
        <v>32.529005391260959</v>
      </c>
      <c r="AA23" s="57">
        <v>31.309884859347026</v>
      </c>
      <c r="AB23" s="57">
        <v>30.232365416921585</v>
      </c>
      <c r="AC23" s="57">
        <v>33.254882506527416</v>
      </c>
      <c r="AD23" s="57">
        <v>31.827651417647402</v>
      </c>
      <c r="AE23" s="57">
        <v>30.86638849774609</v>
      </c>
      <c r="AF23" s="58">
        <v>30.140098865570025</v>
      </c>
      <c r="AG23" s="58">
        <v>30.208479522951652</v>
      </c>
      <c r="AH23" s="58">
        <v>30.721143570910503</v>
      </c>
      <c r="AI23" s="58">
        <v>31.205021828529528</v>
      </c>
      <c r="AJ23" s="58">
        <v>28.526035805915718</v>
      </c>
      <c r="AK23" s="58">
        <v>31.136524641319635</v>
      </c>
      <c r="AL23" s="58">
        <v>31.09648929854356</v>
      </c>
      <c r="AM23" s="58">
        <v>31.223669327098463</v>
      </c>
      <c r="AN23" s="58">
        <v>29.5</v>
      </c>
      <c r="AO23" s="58">
        <v>30.810744400000001</v>
      </c>
      <c r="AP23" s="58">
        <v>31.021231447577229</v>
      </c>
      <c r="AQ23" s="58">
        <v>31.120802714117175</v>
      </c>
      <c r="AR23" s="58">
        <v>28.860294846857613</v>
      </c>
      <c r="AS23" s="58">
        <v>29.36867972337836</v>
      </c>
      <c r="AT23" s="58">
        <v>31.012066355430949</v>
      </c>
      <c r="AU23" s="58">
        <v>32.903057511376886</v>
      </c>
      <c r="AV23" s="58">
        <v>29.794526096763331</v>
      </c>
      <c r="AW23" s="58">
        <v>29.136247919960635</v>
      </c>
      <c r="AX23" s="51">
        <f t="shared" si="21"/>
        <v>29.509970691089599</v>
      </c>
      <c r="AY23" s="51">
        <f t="shared" si="22"/>
        <v>29.696832076654083</v>
      </c>
      <c r="AZ23" s="51">
        <f t="shared" si="23"/>
        <v>29.790262769436325</v>
      </c>
      <c r="BA23" s="58">
        <v>29.883693462218563</v>
      </c>
      <c r="BB23" s="58">
        <v>30.883330391777662</v>
      </c>
      <c r="BC23" s="58">
        <v>30.341328756499031</v>
      </c>
      <c r="BD23" s="58">
        <v>31.271451080167484</v>
      </c>
      <c r="BE23" s="58">
        <v>32.664518222841444</v>
      </c>
      <c r="BF23" s="58">
        <v>32.769731568847895</v>
      </c>
      <c r="BG23" s="58">
        <v>31.768877503076226</v>
      </c>
      <c r="BH23" s="58">
        <v>31.689979651119344</v>
      </c>
      <c r="BI23" s="58">
        <v>33.230505583491052</v>
      </c>
      <c r="BJ23" s="58">
        <v>32.058037893867123</v>
      </c>
      <c r="BK23" s="58">
        <v>32.658335440950957</v>
      </c>
      <c r="BL23" s="58">
        <v>32.466694622754105</v>
      </c>
      <c r="BM23" s="58">
        <v>33.661043445752227</v>
      </c>
      <c r="BN23" s="58">
        <v>35.106907019941247</v>
      </c>
      <c r="BO23" s="58">
        <v>34.739944025944546</v>
      </c>
      <c r="BP23" s="58">
        <v>33.194699179049564</v>
      </c>
      <c r="BQ23" s="58">
        <v>24.024404344035684</v>
      </c>
      <c r="BR23" s="58">
        <v>30.267832542328154</v>
      </c>
      <c r="BS23" s="58">
        <v>36.407813952444975</v>
      </c>
      <c r="BT23" s="58">
        <v>35.078271836434709</v>
      </c>
      <c r="BU23" s="58">
        <v>31.252199268276332</v>
      </c>
      <c r="BV23" s="58">
        <v>33.710299171857784</v>
      </c>
      <c r="BW23" s="58">
        <v>35.605218443980107</v>
      </c>
      <c r="BX23" s="58">
        <v>38.603798954875991</v>
      </c>
      <c r="BY23" s="58">
        <v>40.223212886335887</v>
      </c>
      <c r="BZ23" s="58">
        <v>40.314428098560256</v>
      </c>
      <c r="CA23" s="58">
        <v>38.431313982173094</v>
      </c>
      <c r="CB23" s="58">
        <v>38.322481734371088</v>
      </c>
      <c r="CC23" s="58">
        <v>38.674323092508487</v>
      </c>
      <c r="CD23" s="58">
        <v>36.75876722623228</v>
      </c>
      <c r="CE23" s="58">
        <v>37.315674820865446</v>
      </c>
      <c r="CF23" s="58">
        <v>37.623463914202951</v>
      </c>
      <c r="CG23" s="58">
        <v>36.2088115512773</v>
      </c>
      <c r="CH23" s="58">
        <v>38.836306481086439</v>
      </c>
      <c r="CI23" s="58">
        <v>37.268519750320614</v>
      </c>
      <c r="CJ23" s="58">
        <v>35.799999999999997</v>
      </c>
    </row>
    <row r="24" spans="1:88" s="21" customFormat="1" ht="18" customHeight="1" x14ac:dyDescent="0.25">
      <c r="A24" s="55" t="s">
        <v>119</v>
      </c>
      <c r="B24" s="57">
        <v>40.08630939574364</v>
      </c>
      <c r="C24" s="57">
        <v>39.073693404382965</v>
      </c>
      <c r="D24" s="57">
        <v>38.185271680587682</v>
      </c>
      <c r="E24" s="57">
        <v>38.517036227008767</v>
      </c>
      <c r="F24" s="57">
        <v>37.496098007938343</v>
      </c>
      <c r="G24" s="57">
        <v>39.786308701955221</v>
      </c>
      <c r="H24" s="57">
        <v>38.077628787088244</v>
      </c>
      <c r="I24" s="57">
        <v>35.804298913303647</v>
      </c>
      <c r="J24" s="57">
        <v>36.015331372759128</v>
      </c>
      <c r="K24" s="57">
        <v>35.661000101104307</v>
      </c>
      <c r="L24" s="57">
        <v>32.105856455068057</v>
      </c>
      <c r="M24" s="57">
        <v>33.996348444428179</v>
      </c>
      <c r="N24" s="57">
        <v>36.252247516635535</v>
      </c>
      <c r="O24" s="57">
        <v>33.039956554955218</v>
      </c>
      <c r="P24" s="57">
        <v>32.633307183372679</v>
      </c>
      <c r="Q24" s="57">
        <v>30.595140986734322</v>
      </c>
      <c r="R24" s="51">
        <f t="shared" si="20"/>
        <v>30.285643178236032</v>
      </c>
      <c r="S24" s="57">
        <v>29.976145369737743</v>
      </c>
      <c r="T24" s="57">
        <v>28.72891212738277</v>
      </c>
      <c r="U24" s="57">
        <v>29.104867537735906</v>
      </c>
      <c r="V24" s="57">
        <v>29.821796781555214</v>
      </c>
      <c r="W24" s="57">
        <v>29.936932670570421</v>
      </c>
      <c r="X24" s="57">
        <v>28.597541701662649</v>
      </c>
      <c r="Y24" s="57">
        <v>27.854226117531926</v>
      </c>
      <c r="Z24" s="57">
        <v>27.813706589013826</v>
      </c>
      <c r="AA24" s="57">
        <v>28.989691622259105</v>
      </c>
      <c r="AB24" s="57">
        <v>28.246144328074596</v>
      </c>
      <c r="AC24" s="57">
        <v>28.037165192660257</v>
      </c>
      <c r="AD24" s="57">
        <v>27.451283021075994</v>
      </c>
      <c r="AE24" s="57">
        <v>24.340956810597625</v>
      </c>
      <c r="AF24" s="58">
        <v>25.183519536758141</v>
      </c>
      <c r="AG24" s="58">
        <v>26.742460539274404</v>
      </c>
      <c r="AH24" s="58">
        <v>26.291004418735163</v>
      </c>
      <c r="AI24" s="58">
        <v>26.980329568036126</v>
      </c>
      <c r="AJ24" s="58">
        <v>26.003176302114728</v>
      </c>
      <c r="AK24" s="58">
        <v>28.340846286848603</v>
      </c>
      <c r="AL24" s="58">
        <v>27.667936615549383</v>
      </c>
      <c r="AM24" s="58">
        <v>26.512481379383352</v>
      </c>
      <c r="AN24" s="58">
        <v>24.6</v>
      </c>
      <c r="AO24" s="58">
        <v>27.2213253</v>
      </c>
      <c r="AP24" s="58">
        <v>27.264742384501183</v>
      </c>
      <c r="AQ24" s="58">
        <v>25.547274635280559</v>
      </c>
      <c r="AR24" s="58">
        <v>23.366272433148037</v>
      </c>
      <c r="AS24" s="58">
        <v>27.079992905285561</v>
      </c>
      <c r="AT24" s="58">
        <v>28.829224408446031</v>
      </c>
      <c r="AU24" s="58">
        <v>27.65805480525372</v>
      </c>
      <c r="AV24" s="58">
        <v>25.655111349698771</v>
      </c>
      <c r="AW24" s="58">
        <v>24.427381447740927</v>
      </c>
      <c r="AX24" s="51">
        <f t="shared" si="21"/>
        <v>27.497123627605806</v>
      </c>
      <c r="AY24" s="51">
        <f t="shared" si="22"/>
        <v>29.031994717538247</v>
      </c>
      <c r="AZ24" s="51">
        <f t="shared" si="23"/>
        <v>29.799430262504465</v>
      </c>
      <c r="BA24" s="58">
        <v>30.566865807470684</v>
      </c>
      <c r="BB24" s="58">
        <v>29.154115491193661</v>
      </c>
      <c r="BC24" s="58">
        <v>28.100696415793486</v>
      </c>
      <c r="BD24" s="58">
        <v>30.601723190936443</v>
      </c>
      <c r="BE24" s="58">
        <v>30.786144457813897</v>
      </c>
      <c r="BF24" s="58">
        <v>29.484034580538498</v>
      </c>
      <c r="BG24" s="58">
        <v>32.895149692273677</v>
      </c>
      <c r="BH24" s="58">
        <v>30.667854797861366</v>
      </c>
      <c r="BI24" s="58">
        <v>31.132641840745183</v>
      </c>
      <c r="BJ24" s="58">
        <v>29.484320809703345</v>
      </c>
      <c r="BK24" s="58">
        <v>33.059166730770364</v>
      </c>
      <c r="BL24" s="58">
        <v>32.600469818224006</v>
      </c>
      <c r="BM24" s="58">
        <v>30.477574760050707</v>
      </c>
      <c r="BN24" s="58">
        <v>30.797999651528535</v>
      </c>
      <c r="BO24" s="58">
        <v>32.02765569744561</v>
      </c>
      <c r="BP24" s="58">
        <v>34.539302633067983</v>
      </c>
      <c r="BQ24" s="58">
        <v>19.803744521051719</v>
      </c>
      <c r="BR24" s="58">
        <v>24.329910814147475</v>
      </c>
      <c r="BS24" s="58">
        <v>28.402192930523253</v>
      </c>
      <c r="BT24" s="58">
        <v>32.695161087806795</v>
      </c>
      <c r="BU24" s="58">
        <v>31.477904804174926</v>
      </c>
      <c r="BV24" s="58">
        <v>32.984396885892046</v>
      </c>
      <c r="BW24" s="58">
        <v>29.64072220801831</v>
      </c>
      <c r="BX24" s="58">
        <v>31.332158683676951</v>
      </c>
      <c r="BY24" s="58">
        <v>34.269107794928146</v>
      </c>
      <c r="BZ24" s="58">
        <v>33.758245627547964</v>
      </c>
      <c r="CA24" s="58">
        <v>30.412197076930948</v>
      </c>
      <c r="CB24" s="58">
        <v>32.449084261641033</v>
      </c>
      <c r="CC24" s="58">
        <v>32.091297610168013</v>
      </c>
      <c r="CD24" s="58">
        <v>31.825731450190318</v>
      </c>
      <c r="CE24" s="58">
        <v>34.457289493124591</v>
      </c>
      <c r="CF24" s="58">
        <v>33.028184712014621</v>
      </c>
      <c r="CG24" s="58">
        <v>35.203178842888001</v>
      </c>
      <c r="CH24" s="58">
        <v>35.102919905587854</v>
      </c>
      <c r="CI24" s="58">
        <v>35.688011582922933</v>
      </c>
      <c r="CJ24" s="58">
        <v>35.700000000000003</v>
      </c>
    </row>
    <row r="25" spans="1:88" s="21" customFormat="1" ht="18" customHeight="1" thickBot="1" x14ac:dyDescent="0.3">
      <c r="A25" s="55" t="s">
        <v>120</v>
      </c>
      <c r="B25" s="57">
        <v>19.004218266979684</v>
      </c>
      <c r="C25" s="57">
        <v>20.099297105744082</v>
      </c>
      <c r="D25" s="57">
        <v>18.912443691548631</v>
      </c>
      <c r="E25" s="57">
        <v>20.79786750673977</v>
      </c>
      <c r="F25" s="57">
        <v>18.423026092877091</v>
      </c>
      <c r="G25" s="57">
        <v>19.652142950751571</v>
      </c>
      <c r="H25" s="57">
        <v>19.004206317941637</v>
      </c>
      <c r="I25" s="57">
        <v>21.832412553229183</v>
      </c>
      <c r="J25" s="57">
        <v>19.993155945809438</v>
      </c>
      <c r="K25" s="57">
        <v>17.688680811256848</v>
      </c>
      <c r="L25" s="57">
        <v>19.269371854254018</v>
      </c>
      <c r="M25" s="57">
        <v>17.962516824123437</v>
      </c>
      <c r="N25" s="57">
        <v>17.722996640117199</v>
      </c>
      <c r="O25" s="57">
        <v>17.980560934254676</v>
      </c>
      <c r="P25" s="57">
        <v>17.840498891009993</v>
      </c>
      <c r="Q25" s="57">
        <v>16.109466863976323</v>
      </c>
      <c r="R25" s="51">
        <f t="shared" si="20"/>
        <v>16.448997292321536</v>
      </c>
      <c r="S25" s="57">
        <v>16.788527720666753</v>
      </c>
      <c r="T25" s="57">
        <v>15.717022176603765</v>
      </c>
      <c r="U25" s="57">
        <v>13.454187755049038</v>
      </c>
      <c r="V25" s="57">
        <v>14.298637975763267</v>
      </c>
      <c r="W25" s="57">
        <v>15.466692852848826</v>
      </c>
      <c r="X25" s="57">
        <v>12.900783510317568</v>
      </c>
      <c r="Y25" s="57">
        <v>13.646591479786698</v>
      </c>
      <c r="Z25" s="57">
        <v>14.065075491849999</v>
      </c>
      <c r="AA25" s="57">
        <v>13.023342862280415</v>
      </c>
      <c r="AB25" s="57">
        <v>13.752094388444311</v>
      </c>
      <c r="AC25" s="57">
        <v>15.398890233122176</v>
      </c>
      <c r="AD25" s="57">
        <v>13.555650917106487</v>
      </c>
      <c r="AE25" s="57">
        <v>12.153345557935202</v>
      </c>
      <c r="AF25" s="58">
        <v>12.826147612997248</v>
      </c>
      <c r="AG25" s="58">
        <v>12.638925783658486</v>
      </c>
      <c r="AH25" s="58">
        <v>14.941085675188104</v>
      </c>
      <c r="AI25" s="58">
        <v>13.273419044452025</v>
      </c>
      <c r="AJ25" s="58">
        <v>12.496861375829985</v>
      </c>
      <c r="AK25" s="58">
        <v>12.237848671014495</v>
      </c>
      <c r="AL25" s="58">
        <v>13.286405850561087</v>
      </c>
      <c r="AM25" s="58">
        <v>12.858022774054634</v>
      </c>
      <c r="AN25" s="58">
        <v>13.4</v>
      </c>
      <c r="AO25" s="58">
        <v>13.8452246</v>
      </c>
      <c r="AP25" s="58">
        <v>13.470971653154745</v>
      </c>
      <c r="AQ25" s="58">
        <v>11.942044421201555</v>
      </c>
      <c r="AR25" s="58">
        <v>11.870833362698916</v>
      </c>
      <c r="AS25" s="58">
        <v>12.642304047987674</v>
      </c>
      <c r="AT25" s="58">
        <v>11.708669325850392</v>
      </c>
      <c r="AU25" s="58">
        <v>12.460593079622189</v>
      </c>
      <c r="AV25" s="58">
        <v>11.286887500078723</v>
      </c>
      <c r="AW25" s="58">
        <v>11.341013142719001</v>
      </c>
      <c r="AX25" s="51">
        <f t="shared" si="21"/>
        <v>11.414539454398597</v>
      </c>
      <c r="AY25" s="51">
        <f t="shared" si="22"/>
        <v>11.451302610238393</v>
      </c>
      <c r="AZ25" s="51">
        <f t="shared" si="23"/>
        <v>11.469684188158292</v>
      </c>
      <c r="BA25" s="58">
        <v>11.48806576607819</v>
      </c>
      <c r="BB25" s="58">
        <v>12.55591827466977</v>
      </c>
      <c r="BC25" s="58">
        <v>13.094700777799442</v>
      </c>
      <c r="BD25" s="58">
        <v>12.827950306179293</v>
      </c>
      <c r="BE25" s="58">
        <v>12.419668118334535</v>
      </c>
      <c r="BF25" s="58">
        <v>13.544929938278299</v>
      </c>
      <c r="BG25" s="58">
        <v>13.742657632095339</v>
      </c>
      <c r="BH25" s="58">
        <v>13.313877171294939</v>
      </c>
      <c r="BI25" s="58">
        <v>13.87403792254214</v>
      </c>
      <c r="BJ25" s="58">
        <v>14.0006222866116</v>
      </c>
      <c r="BK25" s="58">
        <v>15.303624597552831</v>
      </c>
      <c r="BL25" s="58">
        <v>14.627928055735866</v>
      </c>
      <c r="BM25" s="58">
        <v>13.450081266272221</v>
      </c>
      <c r="BN25" s="58">
        <v>14.997231079789561</v>
      </c>
      <c r="BO25" s="58">
        <v>15.459913743555248</v>
      </c>
      <c r="BP25" s="58">
        <v>15.647666724207376</v>
      </c>
      <c r="BQ25" s="58">
        <v>11.342985801350238</v>
      </c>
      <c r="BR25" s="58">
        <v>12.210213547750547</v>
      </c>
      <c r="BS25" s="58">
        <v>13.932830433626256</v>
      </c>
      <c r="BT25" s="58">
        <v>13.409412635657828</v>
      </c>
      <c r="BU25" s="58">
        <v>11.826361822875468</v>
      </c>
      <c r="BV25" s="58">
        <v>12.784422266677275</v>
      </c>
      <c r="BW25" s="58">
        <v>11.383022157596624</v>
      </c>
      <c r="BX25" s="58">
        <v>13.06783856706393</v>
      </c>
      <c r="BY25" s="58">
        <v>15.337000604090187</v>
      </c>
      <c r="BZ25" s="58">
        <v>14.422023136470383</v>
      </c>
      <c r="CA25" s="58">
        <v>13.504908527250459</v>
      </c>
      <c r="CB25" s="58">
        <v>14.331837865644365</v>
      </c>
      <c r="CC25" s="58">
        <v>14.170774388431967</v>
      </c>
      <c r="CD25" s="58">
        <v>15.123873626227798</v>
      </c>
      <c r="CE25" s="58">
        <v>14.214188865394966</v>
      </c>
      <c r="CF25" s="58">
        <v>15.017052389970518</v>
      </c>
      <c r="CG25" s="58">
        <v>14.99305250397461</v>
      </c>
      <c r="CH25" s="58">
        <v>15.63118773877153</v>
      </c>
      <c r="CI25" s="58">
        <v>15.044589094125957</v>
      </c>
      <c r="CJ25" s="58">
        <v>15.8</v>
      </c>
    </row>
    <row r="26" spans="1:88" s="22" customFormat="1" ht="30" customHeight="1" thickBot="1" x14ac:dyDescent="0.3">
      <c r="A26" s="52" t="s">
        <v>121</v>
      </c>
      <c r="B26" s="53">
        <f t="shared" ref="B26:BM26" si="24">+AVERAGE(B27:B37)</f>
        <v>52.530233769979503</v>
      </c>
      <c r="C26" s="53">
        <f t="shared" si="24"/>
        <v>52.926169425184156</v>
      </c>
      <c r="D26" s="53">
        <f t="shared" si="24"/>
        <v>51.180414651869775</v>
      </c>
      <c r="E26" s="53">
        <f t="shared" si="24"/>
        <v>50.595312631878976</v>
      </c>
      <c r="F26" s="53">
        <f t="shared" si="24"/>
        <v>50.423734154883249</v>
      </c>
      <c r="G26" s="53">
        <f t="shared" si="24"/>
        <v>51.693563068699859</v>
      </c>
      <c r="H26" s="53">
        <f t="shared" si="24"/>
        <v>49.33402467558831</v>
      </c>
      <c r="I26" s="53">
        <f t="shared" si="24"/>
        <v>49.997984177650409</v>
      </c>
      <c r="J26" s="53">
        <f t="shared" si="24"/>
        <v>48.743416560423221</v>
      </c>
      <c r="K26" s="53">
        <f t="shared" si="24"/>
        <v>47.835982092256586</v>
      </c>
      <c r="L26" s="53">
        <f t="shared" si="24"/>
        <v>46.133226014578504</v>
      </c>
      <c r="M26" s="53">
        <f t="shared" si="24"/>
        <v>46.071310380478131</v>
      </c>
      <c r="N26" s="53">
        <f t="shared" si="24"/>
        <v>44.247638793811355</v>
      </c>
      <c r="O26" s="53">
        <f t="shared" si="24"/>
        <v>43.297380550817245</v>
      </c>
      <c r="P26" s="53">
        <f t="shared" si="24"/>
        <v>41.898680915798401</v>
      </c>
      <c r="Q26" s="53">
        <f t="shared" si="24"/>
        <v>40.944851819981494</v>
      </c>
      <c r="R26" s="53">
        <f t="shared" si="24"/>
        <v>40.374976897966853</v>
      </c>
      <c r="S26" s="53">
        <f t="shared" si="24"/>
        <v>39.805101975952212</v>
      </c>
      <c r="T26" s="53">
        <f t="shared" si="24"/>
        <v>38.554811298118004</v>
      </c>
      <c r="U26" s="53">
        <f t="shared" si="24"/>
        <v>37.626097586494495</v>
      </c>
      <c r="V26" s="53">
        <f t="shared" si="24"/>
        <v>37.738643930870253</v>
      </c>
      <c r="W26" s="53">
        <f t="shared" si="24"/>
        <v>38.983442415065127</v>
      </c>
      <c r="X26" s="53">
        <f t="shared" si="24"/>
        <v>36.498586336478049</v>
      </c>
      <c r="Y26" s="53">
        <f t="shared" si="24"/>
        <v>37.503423344221012</v>
      </c>
      <c r="Z26" s="53">
        <f t="shared" si="24"/>
        <v>36.500889095824711</v>
      </c>
      <c r="AA26" s="53">
        <f t="shared" si="24"/>
        <v>37.620571520419418</v>
      </c>
      <c r="AB26" s="53">
        <f t="shared" si="24"/>
        <v>36.463810444369777</v>
      </c>
      <c r="AC26" s="53">
        <f t="shared" si="24"/>
        <v>37.60306796162584</v>
      </c>
      <c r="AD26" s="53">
        <f t="shared" si="24"/>
        <v>36.755942852154256</v>
      </c>
      <c r="AE26" s="53">
        <f t="shared" si="24"/>
        <v>35.653954484777969</v>
      </c>
      <c r="AF26" s="53">
        <f t="shared" si="24"/>
        <v>37.433340759318583</v>
      </c>
      <c r="AG26" s="53">
        <f t="shared" si="24"/>
        <v>35.929236720280954</v>
      </c>
      <c r="AH26" s="53">
        <f t="shared" si="24"/>
        <v>34.908378090250395</v>
      </c>
      <c r="AI26" s="53">
        <f t="shared" si="24"/>
        <v>35.542243516251737</v>
      </c>
      <c r="AJ26" s="53">
        <f t="shared" si="24"/>
        <v>33.610407445382037</v>
      </c>
      <c r="AK26" s="53">
        <f t="shared" si="24"/>
        <v>34.090154711578244</v>
      </c>
      <c r="AL26" s="53">
        <f t="shared" si="24"/>
        <v>35.769777103063248</v>
      </c>
      <c r="AM26" s="53">
        <f t="shared" si="24"/>
        <v>35.848470810071596</v>
      </c>
      <c r="AN26" s="53">
        <f t="shared" si="24"/>
        <v>33.400000000000006</v>
      </c>
      <c r="AO26" s="53">
        <f t="shared" si="24"/>
        <v>35.532033355454551</v>
      </c>
      <c r="AP26" s="53">
        <f t="shared" si="24"/>
        <v>35.770816508573795</v>
      </c>
      <c r="AQ26" s="53">
        <f t="shared" si="24"/>
        <v>34.797862301335719</v>
      </c>
      <c r="AR26" s="53">
        <f t="shared" si="24"/>
        <v>34.129135647890635</v>
      </c>
      <c r="AS26" s="53">
        <f t="shared" si="24"/>
        <v>34.470569580337376</v>
      </c>
      <c r="AT26" s="53">
        <f t="shared" si="24"/>
        <v>34.259520242961557</v>
      </c>
      <c r="AU26" s="53">
        <f t="shared" si="24"/>
        <v>36.22716131412389</v>
      </c>
      <c r="AV26" s="53">
        <f t="shared" si="24"/>
        <v>33.892497972949819</v>
      </c>
      <c r="AW26" s="53">
        <f t="shared" si="24"/>
        <v>34.028483735353355</v>
      </c>
      <c r="AX26" s="53">
        <f t="shared" si="24"/>
        <v>34.078256503596755</v>
      </c>
      <c r="AY26" s="53">
        <f t="shared" si="24"/>
        <v>34.103142887718462</v>
      </c>
      <c r="AZ26" s="53">
        <f t="shared" si="24"/>
        <v>34.115586079779305</v>
      </c>
      <c r="BA26" s="53">
        <f t="shared" si="24"/>
        <v>34.128029271840163</v>
      </c>
      <c r="BB26" s="53">
        <f t="shared" si="24"/>
        <v>34.313136995248506</v>
      </c>
      <c r="BC26" s="53">
        <f t="shared" si="24"/>
        <v>35.43428167713725</v>
      </c>
      <c r="BD26" s="53">
        <f t="shared" si="24"/>
        <v>34.72408398386699</v>
      </c>
      <c r="BE26" s="53">
        <f t="shared" si="24"/>
        <v>35.410491599883365</v>
      </c>
      <c r="BF26" s="53">
        <f t="shared" si="24"/>
        <v>34.985262853800663</v>
      </c>
      <c r="BG26" s="53">
        <f t="shared" si="24"/>
        <v>35.59991333858008</v>
      </c>
      <c r="BH26" s="53">
        <f t="shared" si="24"/>
        <v>34.389726367822789</v>
      </c>
      <c r="BI26" s="53">
        <f t="shared" si="24"/>
        <v>35.252221121674218</v>
      </c>
      <c r="BJ26" s="53">
        <f t="shared" si="24"/>
        <v>36.019345277712205</v>
      </c>
      <c r="BK26" s="53">
        <f t="shared" si="24"/>
        <v>36.32826655744762</v>
      </c>
      <c r="BL26" s="53">
        <f t="shared" si="24"/>
        <v>36.314925189252044</v>
      </c>
      <c r="BM26" s="53">
        <f t="shared" si="24"/>
        <v>35.606130250243915</v>
      </c>
      <c r="BN26" s="53">
        <f t="shared" ref="BN26:CH26" si="25">+AVERAGE(BN27:BN37)</f>
        <v>35.34920305277199</v>
      </c>
      <c r="BO26" s="53">
        <f t="shared" si="25"/>
        <v>36.923560638742536</v>
      </c>
      <c r="BP26" s="53">
        <f t="shared" si="25"/>
        <v>36.513677600535239</v>
      </c>
      <c r="BQ26" s="53">
        <f t="shared" si="25"/>
        <v>26.681770226882282</v>
      </c>
      <c r="BR26" s="53">
        <f t="shared" si="25"/>
        <v>31.179700491686003</v>
      </c>
      <c r="BS26" s="53">
        <f t="shared" si="25"/>
        <v>34.575346309422642</v>
      </c>
      <c r="BT26" s="53">
        <f t="shared" si="25"/>
        <v>35.958032718217837</v>
      </c>
      <c r="BU26" s="53">
        <f t="shared" si="25"/>
        <v>32.931178527330239</v>
      </c>
      <c r="BV26" s="53">
        <f t="shared" si="25"/>
        <v>37.008341005530127</v>
      </c>
      <c r="BW26" s="53">
        <f t="shared" si="25"/>
        <v>36.973985494326158</v>
      </c>
      <c r="BX26" s="53">
        <f t="shared" si="25"/>
        <v>39.046592706824178</v>
      </c>
      <c r="BY26" s="53">
        <f t="shared" si="25"/>
        <v>40.153038765701382</v>
      </c>
      <c r="BZ26" s="53">
        <f t="shared" si="25"/>
        <v>39.455949574393927</v>
      </c>
      <c r="CA26" s="53">
        <f t="shared" si="25"/>
        <v>37.817283044521901</v>
      </c>
      <c r="CB26" s="53">
        <f t="shared" si="25"/>
        <v>38.136531583713058</v>
      </c>
      <c r="CC26" s="53">
        <f t="shared" si="25"/>
        <v>38.151081646348786</v>
      </c>
      <c r="CD26" s="53">
        <f t="shared" si="25"/>
        <v>37.746668651932445</v>
      </c>
      <c r="CE26" s="53">
        <f t="shared" si="25"/>
        <v>37.446733942847395</v>
      </c>
      <c r="CF26" s="53">
        <f t="shared" si="25"/>
        <v>37.300312216222373</v>
      </c>
      <c r="CG26" s="53">
        <f t="shared" si="25"/>
        <v>37.828779802250217</v>
      </c>
      <c r="CH26" s="53">
        <f t="shared" si="25"/>
        <v>38.667780453579205</v>
      </c>
      <c r="CI26" s="53">
        <f>+AVERAGE(CI27:CI37)</f>
        <v>37.442981580837746</v>
      </c>
      <c r="CJ26" s="54">
        <f>+AVERAGE(CJ27:CJ37)</f>
        <v>38.381818181818176</v>
      </c>
    </row>
    <row r="27" spans="1:88" s="22" customFormat="1" ht="18" customHeight="1" x14ac:dyDescent="0.25">
      <c r="A27" s="26" t="s">
        <v>122</v>
      </c>
      <c r="B27" s="29">
        <v>59.676990277098405</v>
      </c>
      <c r="C27" s="29">
        <v>65.15564247631022</v>
      </c>
      <c r="D27" s="29">
        <v>60.540671501813179</v>
      </c>
      <c r="E27" s="29">
        <v>53.249363332293385</v>
      </c>
      <c r="F27" s="29">
        <v>54.885316958641859</v>
      </c>
      <c r="G27" s="29">
        <v>58.865974749517001</v>
      </c>
      <c r="H27" s="29">
        <v>53.354477196040087</v>
      </c>
      <c r="I27" s="29">
        <v>61.637648844821854</v>
      </c>
      <c r="J27" s="29">
        <v>54.414948936968266</v>
      </c>
      <c r="K27" s="29">
        <v>53.875614496398761</v>
      </c>
      <c r="L27" s="13">
        <v>47.975747892790935</v>
      </c>
      <c r="M27" s="13">
        <v>52.55642913917432</v>
      </c>
      <c r="N27" s="13">
        <v>40.801884290155222</v>
      </c>
      <c r="O27" s="13">
        <v>40.409119708748605</v>
      </c>
      <c r="P27" s="13">
        <v>41.022761629162531</v>
      </c>
      <c r="Q27" s="13">
        <v>33.993303076617934</v>
      </c>
      <c r="R27" s="51">
        <f t="shared" ref="R27:R37" si="26">+(Q27+S27)/2</f>
        <v>30.349935265258175</v>
      </c>
      <c r="S27" s="13">
        <v>26.706567453898415</v>
      </c>
      <c r="T27" s="13">
        <v>38.425212131667188</v>
      </c>
      <c r="U27" s="13">
        <v>32.33152841607135</v>
      </c>
      <c r="V27" s="13">
        <v>38.391280907428353</v>
      </c>
      <c r="W27" s="13">
        <v>32.444098499858477</v>
      </c>
      <c r="X27" s="13">
        <v>28.671687778158166</v>
      </c>
      <c r="Y27" s="13">
        <v>38.475586882268161</v>
      </c>
      <c r="Z27" s="13">
        <v>24.646636749778022</v>
      </c>
      <c r="AA27" s="13">
        <v>31.795684392039892</v>
      </c>
      <c r="AB27" s="13">
        <v>35.159138319185409</v>
      </c>
      <c r="AC27" s="13">
        <v>30.831904830748257</v>
      </c>
      <c r="AD27" s="13">
        <v>29.28064737575669</v>
      </c>
      <c r="AE27" s="13">
        <v>29.839977139591372</v>
      </c>
      <c r="AF27" s="13">
        <v>42.090937918398986</v>
      </c>
      <c r="AG27" s="13">
        <v>28.684742102880229</v>
      </c>
      <c r="AH27" s="13">
        <v>25.174916202935339</v>
      </c>
      <c r="AI27" s="13">
        <v>27.385824014705562</v>
      </c>
      <c r="AJ27" s="13">
        <v>20.442431329891207</v>
      </c>
      <c r="AK27" s="13">
        <v>16.018927323994411</v>
      </c>
      <c r="AL27" s="13">
        <v>24.808211143695015</v>
      </c>
      <c r="AM27" s="13">
        <v>24.363153825256514</v>
      </c>
      <c r="AN27" s="13">
        <v>27.1</v>
      </c>
      <c r="AO27" s="13">
        <v>25.867986899999998</v>
      </c>
      <c r="AP27" s="7">
        <v>26.681606736613357</v>
      </c>
      <c r="AQ27" s="7">
        <v>29.676328877836493</v>
      </c>
      <c r="AR27" s="7">
        <v>24.63307402728044</v>
      </c>
      <c r="AS27" s="7">
        <v>27.764896737172055</v>
      </c>
      <c r="AT27" s="7">
        <v>18.995443319767645</v>
      </c>
      <c r="AU27" s="7">
        <v>34.531979138073012</v>
      </c>
      <c r="AV27" s="7">
        <v>26.734087605690782</v>
      </c>
      <c r="AW27" s="7">
        <v>24.92440721922296</v>
      </c>
      <c r="AX27" s="51">
        <f t="shared" ref="AX27:AX37" si="27">+(AW27+BA27)/2</f>
        <v>24.754459316114477</v>
      </c>
      <c r="AY27" s="51">
        <f t="shared" ref="AY27:AY37" si="28">+(AX27+BA27)/2</f>
        <v>24.669485364560238</v>
      </c>
      <c r="AZ27" s="51">
        <f t="shared" ref="AZ27:AZ37" si="29">+(AY27+BA27)/2</f>
        <v>24.626998388783118</v>
      </c>
      <c r="BA27" s="33">
        <v>24.584511413005998</v>
      </c>
      <c r="BB27" s="7">
        <v>19.920521977284324</v>
      </c>
      <c r="BC27" s="7">
        <v>28.757442983934389</v>
      </c>
      <c r="BD27" s="7">
        <v>22.744736205227493</v>
      </c>
      <c r="BE27" s="7">
        <v>28.350118179015517</v>
      </c>
      <c r="BF27" s="7">
        <v>20.705481558589035</v>
      </c>
      <c r="BG27" s="7">
        <v>24.713083397092579</v>
      </c>
      <c r="BH27" s="7">
        <v>21.796725319416531</v>
      </c>
      <c r="BI27" s="7">
        <v>20.168815442695347</v>
      </c>
      <c r="BJ27" s="7">
        <v>33.381817292883859</v>
      </c>
      <c r="BK27" s="40">
        <v>23.668139550220932</v>
      </c>
      <c r="BL27" s="7">
        <v>27.166324225418343</v>
      </c>
      <c r="BM27" s="7">
        <v>30.543005921238901</v>
      </c>
      <c r="BN27" s="7">
        <v>21.643337963457636</v>
      </c>
      <c r="BO27" s="7">
        <v>24.314103758590829</v>
      </c>
      <c r="BP27" s="7">
        <v>22.123150739704116</v>
      </c>
      <c r="BQ27" s="7">
        <v>19.81018642821288</v>
      </c>
      <c r="BR27" s="7">
        <v>17.914463971043482</v>
      </c>
      <c r="BS27" s="7">
        <v>23.018456868696759</v>
      </c>
      <c r="BT27" s="7">
        <v>24.368296975130324</v>
      </c>
      <c r="BU27" s="7">
        <v>18.722239489858328</v>
      </c>
      <c r="BV27" s="7">
        <v>28.903548899696634</v>
      </c>
      <c r="BW27" s="7">
        <v>26.847583086418432</v>
      </c>
      <c r="BX27" s="40">
        <v>30.364079783990945</v>
      </c>
      <c r="BY27" s="7">
        <v>35.915082695630709</v>
      </c>
      <c r="BZ27" s="7">
        <v>30.917951841995578</v>
      </c>
      <c r="CA27" s="7">
        <v>29.340399052551287</v>
      </c>
      <c r="CB27" s="7">
        <v>29.245084240069446</v>
      </c>
      <c r="CC27" s="7">
        <v>24.699904481492059</v>
      </c>
      <c r="CD27" s="7">
        <v>26.375143305023279</v>
      </c>
      <c r="CE27" s="7">
        <v>21.046258173891982</v>
      </c>
      <c r="CF27" s="7">
        <v>24.610560700143296</v>
      </c>
      <c r="CG27" s="7">
        <v>25.296376569159378</v>
      </c>
      <c r="CH27" s="7">
        <v>24.232608621917713</v>
      </c>
      <c r="CI27" s="7">
        <v>17.07158221285275</v>
      </c>
      <c r="CJ27" s="40">
        <v>27.2</v>
      </c>
    </row>
    <row r="28" spans="1:88" s="22" customFormat="1" ht="18" customHeight="1" x14ac:dyDescent="0.25">
      <c r="A28" s="26" t="s">
        <v>123</v>
      </c>
      <c r="B28" s="29">
        <v>45.46875563764943</v>
      </c>
      <c r="C28" s="29">
        <v>41.462345782720618</v>
      </c>
      <c r="D28" s="29">
        <v>37.277739739135242</v>
      </c>
      <c r="E28" s="29">
        <v>44.715133257384913</v>
      </c>
      <c r="F28" s="29">
        <v>41.255088462812807</v>
      </c>
      <c r="G28" s="29">
        <v>39.244809284216714</v>
      </c>
      <c r="H28" s="29">
        <v>37.262731930750718</v>
      </c>
      <c r="I28" s="29">
        <v>38.481407634403467</v>
      </c>
      <c r="J28" s="29">
        <v>38.959760869901473</v>
      </c>
      <c r="K28" s="29">
        <v>38.710073651128759</v>
      </c>
      <c r="L28" s="13">
        <v>36.496058691290024</v>
      </c>
      <c r="M28" s="13">
        <v>38.199747580369717</v>
      </c>
      <c r="N28" s="13">
        <v>33.888327498514357</v>
      </c>
      <c r="O28" s="13">
        <v>37.229168554671588</v>
      </c>
      <c r="P28" s="13">
        <v>33.76255190287312</v>
      </c>
      <c r="Q28" s="13">
        <v>35.807899765924482</v>
      </c>
      <c r="R28" s="51">
        <f t="shared" si="26"/>
        <v>34.312320850634734</v>
      </c>
      <c r="S28" s="13">
        <v>32.816741935344993</v>
      </c>
      <c r="T28" s="13">
        <v>29.151164405759527</v>
      </c>
      <c r="U28" s="13">
        <v>30.349330118873485</v>
      </c>
      <c r="V28" s="13">
        <v>28.718511415188285</v>
      </c>
      <c r="W28" s="13">
        <v>30.334334511389962</v>
      </c>
      <c r="X28" s="13">
        <v>27.345706923899549</v>
      </c>
      <c r="Y28" s="13">
        <v>28.41249510319771</v>
      </c>
      <c r="Z28" s="13">
        <v>32.062025542771821</v>
      </c>
      <c r="AA28" s="13">
        <v>32.350828006395098</v>
      </c>
      <c r="AB28" s="13">
        <v>28.016408656432922</v>
      </c>
      <c r="AC28" s="13">
        <v>31.354890537281292</v>
      </c>
      <c r="AD28" s="13">
        <v>29.533694491958791</v>
      </c>
      <c r="AE28" s="13">
        <v>26.853944028995596</v>
      </c>
      <c r="AF28" s="13">
        <v>26.93264917205564</v>
      </c>
      <c r="AG28" s="13">
        <v>29.566233720744812</v>
      </c>
      <c r="AH28" s="13">
        <v>27.838519834665931</v>
      </c>
      <c r="AI28" s="13">
        <v>27.788628131749967</v>
      </c>
      <c r="AJ28" s="13">
        <v>26.76178345749204</v>
      </c>
      <c r="AK28" s="13">
        <v>28.76576765957406</v>
      </c>
      <c r="AL28" s="13">
        <v>29.704512934656702</v>
      </c>
      <c r="AM28" s="13">
        <v>31.771836260215991</v>
      </c>
      <c r="AN28" s="13">
        <v>28.4</v>
      </c>
      <c r="AO28" s="13">
        <v>27.744771199999999</v>
      </c>
      <c r="AP28" s="7">
        <v>29.537429737252886</v>
      </c>
      <c r="AQ28" s="7">
        <v>29.84556322054236</v>
      </c>
      <c r="AR28" s="7">
        <v>28.915169970722193</v>
      </c>
      <c r="AS28" s="7">
        <v>26.259419451210697</v>
      </c>
      <c r="AT28" s="7">
        <v>27.530400556421768</v>
      </c>
      <c r="AU28" s="7">
        <v>28.336119993436199</v>
      </c>
      <c r="AV28" s="7">
        <v>26.428250351767314</v>
      </c>
      <c r="AW28" s="7">
        <v>27.466795797584815</v>
      </c>
      <c r="AX28" s="51">
        <f t="shared" si="27"/>
        <v>26.758135795226703</v>
      </c>
      <c r="AY28" s="51">
        <f t="shared" si="28"/>
        <v>26.403805794047649</v>
      </c>
      <c r="AZ28" s="51">
        <f t="shared" si="29"/>
        <v>26.22664079345812</v>
      </c>
      <c r="BA28" s="28">
        <v>26.049475792868591</v>
      </c>
      <c r="BB28" s="7">
        <v>29.253984460172706</v>
      </c>
      <c r="BC28" s="7">
        <v>26.638358756605818</v>
      </c>
      <c r="BD28" s="7">
        <v>27.154866798281034</v>
      </c>
      <c r="BE28" s="7">
        <v>28.548445001203053</v>
      </c>
      <c r="BF28" s="7">
        <v>30.221593305829874</v>
      </c>
      <c r="BG28" s="7">
        <v>29.200025454097116</v>
      </c>
      <c r="BH28" s="7">
        <v>29.320794458371036</v>
      </c>
      <c r="BI28" s="7">
        <v>28.038613827261617</v>
      </c>
      <c r="BJ28" s="7">
        <v>28.09222062556578</v>
      </c>
      <c r="BK28" s="40">
        <v>28.150625692293353</v>
      </c>
      <c r="BL28" s="7">
        <v>30.063476768160324</v>
      </c>
      <c r="BM28" s="7">
        <v>30.348325715921938</v>
      </c>
      <c r="BN28" s="7">
        <v>29.696710763370564</v>
      </c>
      <c r="BO28" s="7">
        <v>30.044372839396381</v>
      </c>
      <c r="BP28" s="7">
        <v>31.637846241710822</v>
      </c>
      <c r="BQ28" s="7">
        <v>23.362677707654996</v>
      </c>
      <c r="BR28" s="7">
        <v>26.550252240870563</v>
      </c>
      <c r="BS28" s="7">
        <v>30.144476353265127</v>
      </c>
      <c r="BT28" s="7">
        <v>30.71545171922601</v>
      </c>
      <c r="BU28" s="7">
        <v>24.959107466803736</v>
      </c>
      <c r="BV28" s="7">
        <v>26.191643591216785</v>
      </c>
      <c r="BW28" s="7">
        <v>30.776568737077419</v>
      </c>
      <c r="BX28" s="40">
        <v>36.426954278143228</v>
      </c>
      <c r="BY28" s="7">
        <v>36.265779773460579</v>
      </c>
      <c r="BZ28" s="7">
        <v>32.591382085980563</v>
      </c>
      <c r="CA28" s="7">
        <v>32.923466676787612</v>
      </c>
      <c r="CB28" s="7">
        <v>33.164429125771179</v>
      </c>
      <c r="CC28" s="7">
        <v>30.75899170353933</v>
      </c>
      <c r="CD28" s="7">
        <v>30.046032375087645</v>
      </c>
      <c r="CE28" s="7">
        <v>30.943661907854992</v>
      </c>
      <c r="CF28" s="7">
        <v>31.49616810968671</v>
      </c>
      <c r="CG28" s="7">
        <v>31.374898266060349</v>
      </c>
      <c r="CH28" s="7">
        <v>27.796238208852113</v>
      </c>
      <c r="CI28" s="7">
        <v>24.945888567767831</v>
      </c>
      <c r="CJ28" s="40">
        <v>29.1</v>
      </c>
    </row>
    <row r="29" spans="1:88" s="22" customFormat="1" ht="18" customHeight="1" x14ac:dyDescent="0.25">
      <c r="A29" s="26" t="s">
        <v>124</v>
      </c>
      <c r="B29" s="29">
        <v>79.148691310199098</v>
      </c>
      <c r="C29" s="29">
        <v>76.831460739213881</v>
      </c>
      <c r="D29" s="29">
        <v>75.639968932777506</v>
      </c>
      <c r="E29" s="29">
        <v>75.761004703819779</v>
      </c>
      <c r="F29" s="29">
        <v>75.505958897682135</v>
      </c>
      <c r="G29" s="29">
        <v>78.646687839607438</v>
      </c>
      <c r="H29" s="29">
        <v>78.913179006565258</v>
      </c>
      <c r="I29" s="29">
        <v>72.973976768532836</v>
      </c>
      <c r="J29" s="29">
        <v>75.183767280244254</v>
      </c>
      <c r="K29" s="29">
        <v>69.388415778295567</v>
      </c>
      <c r="L29" s="13">
        <v>73.965261686020952</v>
      </c>
      <c r="M29" s="13">
        <v>71.827937352527954</v>
      </c>
      <c r="N29" s="13">
        <v>66.5615720420694</v>
      </c>
      <c r="O29" s="13">
        <v>68.515335765917399</v>
      </c>
      <c r="P29" s="13">
        <v>66.868242359752202</v>
      </c>
      <c r="Q29" s="13">
        <v>63.94610247996917</v>
      </c>
      <c r="R29" s="51">
        <f t="shared" si="26"/>
        <v>63.639164660479338</v>
      </c>
      <c r="S29" s="13">
        <v>63.332226840989506</v>
      </c>
      <c r="T29" s="13">
        <v>62.500373365406247</v>
      </c>
      <c r="U29" s="13">
        <v>67.249929299487377</v>
      </c>
      <c r="V29" s="13">
        <v>62.834914186683562</v>
      </c>
      <c r="W29" s="13">
        <v>65.25279424836414</v>
      </c>
      <c r="X29" s="13">
        <v>57.570043005844006</v>
      </c>
      <c r="Y29" s="13">
        <v>64.849212056931066</v>
      </c>
      <c r="Z29" s="13">
        <v>66.656634693798296</v>
      </c>
      <c r="AA29" s="13">
        <v>61.217306391941285</v>
      </c>
      <c r="AB29" s="13">
        <v>57.505107814473369</v>
      </c>
      <c r="AC29" s="13">
        <v>65.037312780380148</v>
      </c>
      <c r="AD29" s="13">
        <v>65.349472540532688</v>
      </c>
      <c r="AE29" s="13">
        <v>62.402227179985893</v>
      </c>
      <c r="AF29" s="13">
        <v>64.202406942259998</v>
      </c>
      <c r="AG29" s="13">
        <v>64.123535179222372</v>
      </c>
      <c r="AH29" s="13">
        <v>62.542629719779505</v>
      </c>
      <c r="AI29" s="13">
        <v>63.602273652319482</v>
      </c>
      <c r="AJ29" s="13">
        <v>60.757244154491097</v>
      </c>
      <c r="AK29" s="13">
        <v>59.890947239709526</v>
      </c>
      <c r="AL29" s="13">
        <v>65.517228838985361</v>
      </c>
      <c r="AM29" s="13">
        <v>64.414425918493919</v>
      </c>
      <c r="AN29" s="13">
        <v>59.4</v>
      </c>
      <c r="AO29" s="13">
        <v>65.399862999999996</v>
      </c>
      <c r="AP29" s="7">
        <v>71.068689351243691</v>
      </c>
      <c r="AQ29" s="7">
        <v>68.260274385874936</v>
      </c>
      <c r="AR29" s="7">
        <v>65.102059585521715</v>
      </c>
      <c r="AS29" s="7">
        <v>68.66959609550382</v>
      </c>
      <c r="AT29" s="7">
        <v>72.403407593053359</v>
      </c>
      <c r="AU29" s="7">
        <v>69.503316670525905</v>
      </c>
      <c r="AV29" s="7">
        <v>67.584553261041933</v>
      </c>
      <c r="AW29" s="7">
        <v>67.695514188401489</v>
      </c>
      <c r="AX29" s="51">
        <f t="shared" si="27"/>
        <v>68.557909534757727</v>
      </c>
      <c r="AY29" s="51">
        <f t="shared" si="28"/>
        <v>68.989107207935845</v>
      </c>
      <c r="AZ29" s="51">
        <f t="shared" si="29"/>
        <v>69.204706044524897</v>
      </c>
      <c r="BA29" s="28">
        <v>69.420304881113964</v>
      </c>
      <c r="BB29" s="7">
        <v>67.520024342131421</v>
      </c>
      <c r="BC29" s="7">
        <v>69.547476951378641</v>
      </c>
      <c r="BD29" s="7">
        <v>69.035689523044923</v>
      </c>
      <c r="BE29" s="7">
        <v>67.222563863912114</v>
      </c>
      <c r="BF29" s="7">
        <v>67.607299048025254</v>
      </c>
      <c r="BG29" s="7">
        <v>66.323266355221349</v>
      </c>
      <c r="BH29" s="7">
        <v>65.812866915127842</v>
      </c>
      <c r="BI29" s="7">
        <v>63.273920399200236</v>
      </c>
      <c r="BJ29" s="7">
        <v>66.808909550086653</v>
      </c>
      <c r="BK29" s="40">
        <v>69.967855823773135</v>
      </c>
      <c r="BL29" s="7">
        <v>65.497202745488536</v>
      </c>
      <c r="BM29" s="7">
        <v>63.388186432434324</v>
      </c>
      <c r="BN29" s="7">
        <v>69.605205520910488</v>
      </c>
      <c r="BO29" s="7">
        <v>71.032895735619604</v>
      </c>
      <c r="BP29" s="7">
        <v>66.149983626241678</v>
      </c>
      <c r="BQ29" s="7">
        <v>56.143350267031387</v>
      </c>
      <c r="BR29" s="7">
        <v>65.533966935893702</v>
      </c>
      <c r="BS29" s="7">
        <v>75.716448312211199</v>
      </c>
      <c r="BT29" s="7">
        <v>74.80644984168238</v>
      </c>
      <c r="BU29" s="7">
        <v>71.712050278324028</v>
      </c>
      <c r="BV29" s="7">
        <v>71.638145991394381</v>
      </c>
      <c r="BW29" s="7">
        <v>73.157514060863832</v>
      </c>
      <c r="BX29" s="40">
        <v>71.711840873347526</v>
      </c>
      <c r="BY29" s="7">
        <v>73.073120150042357</v>
      </c>
      <c r="BZ29" s="7">
        <v>69.639708502221566</v>
      </c>
      <c r="CA29" s="7">
        <v>71.08777931965426</v>
      </c>
      <c r="CB29" s="7">
        <v>66.856623969011522</v>
      </c>
      <c r="CC29" s="7">
        <v>68.81941317250137</v>
      </c>
      <c r="CD29" s="7">
        <v>70.9501027296742</v>
      </c>
      <c r="CE29" s="7">
        <v>70.083829824089563</v>
      </c>
      <c r="CF29" s="7">
        <v>69.697485550386148</v>
      </c>
      <c r="CG29" s="7">
        <v>66.938369872641985</v>
      </c>
      <c r="CH29" s="7">
        <v>77.43409077385266</v>
      </c>
      <c r="CI29" s="7">
        <v>72.73007635707792</v>
      </c>
      <c r="CJ29" s="40">
        <v>74.599999999999994</v>
      </c>
    </row>
    <row r="30" spans="1:88" s="22" customFormat="1" ht="18" customHeight="1" x14ac:dyDescent="0.25">
      <c r="A30" s="26" t="s">
        <v>125</v>
      </c>
      <c r="B30" s="29">
        <v>54.712265912137269</v>
      </c>
      <c r="C30" s="29">
        <v>52.3624021864334</v>
      </c>
      <c r="D30" s="29">
        <v>49.830332569606533</v>
      </c>
      <c r="E30" s="29">
        <v>49.935077475582148</v>
      </c>
      <c r="F30" s="29">
        <v>52.073775892599762</v>
      </c>
      <c r="G30" s="29">
        <v>52.582997617854645</v>
      </c>
      <c r="H30" s="29">
        <v>49.505165938653469</v>
      </c>
      <c r="I30" s="29">
        <v>50.16403279825419</v>
      </c>
      <c r="J30" s="29">
        <v>49.833429637397366</v>
      </c>
      <c r="K30" s="29">
        <v>49.556446161179437</v>
      </c>
      <c r="L30" s="13">
        <v>45.044870127096431</v>
      </c>
      <c r="M30" s="13">
        <v>45.65686930944635</v>
      </c>
      <c r="N30" s="13">
        <v>45.63688266306054</v>
      </c>
      <c r="O30" s="13">
        <v>45.133792244372451</v>
      </c>
      <c r="P30" s="13">
        <v>44.10637487863923</v>
      </c>
      <c r="Q30" s="13">
        <v>44.488233733752701</v>
      </c>
      <c r="R30" s="51">
        <f t="shared" si="26"/>
        <v>44.016199783681856</v>
      </c>
      <c r="S30" s="13">
        <v>43.544165833611018</v>
      </c>
      <c r="T30" s="13">
        <v>43.115264325687413</v>
      </c>
      <c r="U30" s="13">
        <v>39.883466294710487</v>
      </c>
      <c r="V30" s="13">
        <v>39.492125177150086</v>
      </c>
      <c r="W30" s="13">
        <v>39.754540376683742</v>
      </c>
      <c r="X30" s="13">
        <v>43.091770415644298</v>
      </c>
      <c r="Y30" s="13">
        <v>40.556606793493962</v>
      </c>
      <c r="Z30" s="13">
        <v>40.616947726718436</v>
      </c>
      <c r="AA30" s="13">
        <v>42.502027015370814</v>
      </c>
      <c r="AB30" s="13">
        <v>40.428507662550217</v>
      </c>
      <c r="AC30" s="13">
        <v>41.056429116863285</v>
      </c>
      <c r="AD30" s="13">
        <v>37.990904858392518</v>
      </c>
      <c r="AE30" s="13">
        <v>39.2213505174415</v>
      </c>
      <c r="AF30" s="13">
        <v>38.381496652980104</v>
      </c>
      <c r="AG30" s="13">
        <v>40.393457238541394</v>
      </c>
      <c r="AH30" s="13">
        <v>36.727783914388347</v>
      </c>
      <c r="AI30" s="13">
        <v>35.899210229409547</v>
      </c>
      <c r="AJ30" s="13">
        <v>33.62119289468896</v>
      </c>
      <c r="AK30" s="13">
        <v>38.116811287461644</v>
      </c>
      <c r="AL30" s="13">
        <v>40.914612654684035</v>
      </c>
      <c r="AM30" s="13">
        <v>35.831250987922957</v>
      </c>
      <c r="AN30" s="13">
        <v>35.799999999999997</v>
      </c>
      <c r="AO30" s="13">
        <v>38.522934200000002</v>
      </c>
      <c r="AP30" s="7">
        <v>39.210857998426626</v>
      </c>
      <c r="AQ30" s="7">
        <v>37.272036127667228</v>
      </c>
      <c r="AR30" s="7">
        <v>35.408928581744497</v>
      </c>
      <c r="AS30" s="7">
        <v>38.204416545428515</v>
      </c>
      <c r="AT30" s="7">
        <v>38.985061523378157</v>
      </c>
      <c r="AU30" s="7">
        <v>42.992302186258726</v>
      </c>
      <c r="AV30" s="7">
        <v>35.483711527304031</v>
      </c>
      <c r="AW30" s="7">
        <v>37.181161776605961</v>
      </c>
      <c r="AX30" s="51">
        <f t="shared" si="27"/>
        <v>37.302191657300639</v>
      </c>
      <c r="AY30" s="51">
        <f t="shared" si="28"/>
        <v>37.362706597647986</v>
      </c>
      <c r="AZ30" s="51">
        <f t="shared" si="29"/>
        <v>37.392964067821651</v>
      </c>
      <c r="BA30" s="28">
        <v>37.423221537995325</v>
      </c>
      <c r="BB30" s="7">
        <v>41.160069599132534</v>
      </c>
      <c r="BC30" s="7">
        <v>40.634827656964546</v>
      </c>
      <c r="BD30" s="7">
        <v>40.849989114649169</v>
      </c>
      <c r="BE30" s="7">
        <v>39.342262222923594</v>
      </c>
      <c r="BF30" s="7">
        <v>41.946519942623475</v>
      </c>
      <c r="BG30" s="7">
        <v>42.668568189959487</v>
      </c>
      <c r="BH30" s="7">
        <v>38.377652342301509</v>
      </c>
      <c r="BI30" s="7">
        <v>39.531551766677723</v>
      </c>
      <c r="BJ30" s="7">
        <v>38.692767897114486</v>
      </c>
      <c r="BK30" s="40">
        <v>39.850705031591168</v>
      </c>
      <c r="BL30" s="7">
        <v>38.641811069625774</v>
      </c>
      <c r="BM30" s="7">
        <v>40.002915121114171</v>
      </c>
      <c r="BN30" s="7">
        <v>42.127555177390626</v>
      </c>
      <c r="BO30" s="7">
        <v>42.243661721610778</v>
      </c>
      <c r="BP30" s="7">
        <v>45.532316016401062</v>
      </c>
      <c r="BQ30" s="7">
        <v>35.495712768852343</v>
      </c>
      <c r="BR30" s="7">
        <v>36.584375851937118</v>
      </c>
      <c r="BS30" s="7">
        <v>44.300184653481203</v>
      </c>
      <c r="BT30" s="7">
        <v>45.52432366536663</v>
      </c>
      <c r="BU30" s="7">
        <v>39.779276159026047</v>
      </c>
      <c r="BV30" s="7">
        <v>39.662067917506064</v>
      </c>
      <c r="BW30" s="7">
        <v>43.599836308714195</v>
      </c>
      <c r="BX30" s="40">
        <v>48.065107875162596</v>
      </c>
      <c r="BY30" s="7">
        <v>45.640109840259839</v>
      </c>
      <c r="BZ30" s="7">
        <v>45.513585826400607</v>
      </c>
      <c r="CA30" s="7">
        <v>43.02206850102263</v>
      </c>
      <c r="CB30" s="7">
        <v>46.572142962200324</v>
      </c>
      <c r="CC30" s="7">
        <v>45.519140054665982</v>
      </c>
      <c r="CD30" s="7">
        <v>45.498047194615062</v>
      </c>
      <c r="CE30" s="7">
        <v>43.264355495471676</v>
      </c>
      <c r="CF30" s="7">
        <v>43.522531911546587</v>
      </c>
      <c r="CG30" s="7">
        <v>45.919362103614461</v>
      </c>
      <c r="CH30" s="7">
        <v>44.795751115477053</v>
      </c>
      <c r="CI30" s="7">
        <v>44.912413246524309</v>
      </c>
      <c r="CJ30" s="40">
        <v>42.4</v>
      </c>
    </row>
    <row r="31" spans="1:88" s="22" customFormat="1" ht="18" customHeight="1" x14ac:dyDescent="0.25">
      <c r="A31" s="26" t="s">
        <v>126</v>
      </c>
      <c r="B31" s="29">
        <v>56.712456982404881</v>
      </c>
      <c r="C31" s="29">
        <v>63.314431411612574</v>
      </c>
      <c r="D31" s="29">
        <v>53.673026587684255</v>
      </c>
      <c r="E31" s="29">
        <v>54.78983029439096</v>
      </c>
      <c r="F31" s="29">
        <v>52.601236066572035</v>
      </c>
      <c r="G31" s="29">
        <v>59.353235556866181</v>
      </c>
      <c r="H31" s="29">
        <v>53.915814259023861</v>
      </c>
      <c r="I31" s="29">
        <v>55.631870465705013</v>
      </c>
      <c r="J31" s="29">
        <v>53.263209038873804</v>
      </c>
      <c r="K31" s="29">
        <v>53.668723676902154</v>
      </c>
      <c r="L31" s="13">
        <v>55.373277114410236</v>
      </c>
      <c r="M31" s="13">
        <v>52.696983862360533</v>
      </c>
      <c r="N31" s="13">
        <v>51.379208833053603</v>
      </c>
      <c r="O31" s="13">
        <v>49.476668984575696</v>
      </c>
      <c r="P31" s="13">
        <v>44.610238969346156</v>
      </c>
      <c r="Q31" s="13">
        <v>45.650245431427052</v>
      </c>
      <c r="R31" s="51">
        <f t="shared" si="26"/>
        <v>46.704251612547928</v>
      </c>
      <c r="S31" s="13">
        <v>47.758257793668804</v>
      </c>
      <c r="T31" s="13">
        <v>43.951115298363874</v>
      </c>
      <c r="U31" s="13">
        <v>44.797771480289022</v>
      </c>
      <c r="V31" s="13">
        <v>43.383740787344962</v>
      </c>
      <c r="W31" s="13">
        <v>47.954291821882713</v>
      </c>
      <c r="X31" s="13">
        <v>43.62501711477347</v>
      </c>
      <c r="Y31" s="13">
        <v>42.872202018935354</v>
      </c>
      <c r="Z31" s="13">
        <v>44.529947119291634</v>
      </c>
      <c r="AA31" s="13">
        <v>47.743794010953842</v>
      </c>
      <c r="AB31" s="13">
        <v>39.718357495349515</v>
      </c>
      <c r="AC31" s="13">
        <v>46.842605850218206</v>
      </c>
      <c r="AD31" s="13">
        <v>45.256855476093264</v>
      </c>
      <c r="AE31" s="13">
        <v>43.654091077257533</v>
      </c>
      <c r="AF31" s="13">
        <v>46.769934315042313</v>
      </c>
      <c r="AG31" s="13">
        <v>43.278180300617933</v>
      </c>
      <c r="AH31" s="13">
        <v>44.10423793669586</v>
      </c>
      <c r="AI31" s="13">
        <v>47.52385775712257</v>
      </c>
      <c r="AJ31" s="13">
        <v>42.442465675206343</v>
      </c>
      <c r="AK31" s="13">
        <v>47.208833472591465</v>
      </c>
      <c r="AL31" s="13">
        <v>43.57976528347352</v>
      </c>
      <c r="AM31" s="13">
        <v>46.318581315707547</v>
      </c>
      <c r="AN31" s="13">
        <v>41.3</v>
      </c>
      <c r="AO31" s="13">
        <v>50.123765900000002</v>
      </c>
      <c r="AP31" s="7">
        <v>41.696692558682329</v>
      </c>
      <c r="AQ31" s="7">
        <v>41.482150759699074</v>
      </c>
      <c r="AR31" s="7">
        <v>45.861080482893186</v>
      </c>
      <c r="AS31" s="7">
        <v>41.218576752027346</v>
      </c>
      <c r="AT31" s="7">
        <v>44.677161194076234</v>
      </c>
      <c r="AU31" s="7">
        <v>45.027735839454444</v>
      </c>
      <c r="AV31" s="7">
        <v>45.38767590688942</v>
      </c>
      <c r="AW31" s="7">
        <v>45.653953397066878</v>
      </c>
      <c r="AX31" s="51">
        <f t="shared" si="27"/>
        <v>46.6646688842998</v>
      </c>
      <c r="AY31" s="51">
        <f t="shared" si="28"/>
        <v>47.170026627916265</v>
      </c>
      <c r="AZ31" s="51">
        <f t="shared" si="29"/>
        <v>47.422705499724501</v>
      </c>
      <c r="BA31" s="28">
        <v>47.675384371532729</v>
      </c>
      <c r="BB31" s="7">
        <v>44.799553082786872</v>
      </c>
      <c r="BC31" s="7">
        <v>45.969280507250694</v>
      </c>
      <c r="BD31" s="7">
        <v>45.043586587908898</v>
      </c>
      <c r="BE31" s="7">
        <v>43.672007605021385</v>
      </c>
      <c r="BF31" s="7">
        <v>44.718870866948535</v>
      </c>
      <c r="BG31" s="7">
        <v>48.931584958287615</v>
      </c>
      <c r="BH31" s="7">
        <v>46.823144443410563</v>
      </c>
      <c r="BI31" s="7">
        <v>50.775701578983657</v>
      </c>
      <c r="BJ31" s="7">
        <v>48.233588843657486</v>
      </c>
      <c r="BK31" s="40">
        <v>48.403659189656217</v>
      </c>
      <c r="BL31" s="7">
        <v>52.032913720552585</v>
      </c>
      <c r="BM31" s="7">
        <v>47.730084217008702</v>
      </c>
      <c r="BN31" s="7">
        <v>43.012379197776269</v>
      </c>
      <c r="BO31" s="7">
        <v>49.373176023219436</v>
      </c>
      <c r="BP31" s="7">
        <v>52.158144509750983</v>
      </c>
      <c r="BQ31" s="7">
        <v>27.693709805000516</v>
      </c>
      <c r="BR31" s="7">
        <v>43.718276753945595</v>
      </c>
      <c r="BS31" s="7">
        <v>44.081802534543229</v>
      </c>
      <c r="BT31" s="7">
        <v>48.320659062103928</v>
      </c>
      <c r="BU31" s="7">
        <v>38.152248179948636</v>
      </c>
      <c r="BV31" s="7">
        <v>51.258736246012695</v>
      </c>
      <c r="BW31" s="7">
        <v>55.069246570803784</v>
      </c>
      <c r="BX31" s="40">
        <v>57.200776000224927</v>
      </c>
      <c r="BY31" s="7">
        <v>53.749373264299315</v>
      </c>
      <c r="BZ31" s="7">
        <v>54.697843812579428</v>
      </c>
      <c r="CA31" s="7">
        <v>48.169170840289368</v>
      </c>
      <c r="CB31" s="7">
        <v>49.494746165304562</v>
      </c>
      <c r="CC31" s="7">
        <v>52.236015963185878</v>
      </c>
      <c r="CD31" s="7">
        <v>53.76470707050305</v>
      </c>
      <c r="CE31" s="7">
        <v>51.339126626252977</v>
      </c>
      <c r="CF31" s="7">
        <v>51.522030442899528</v>
      </c>
      <c r="CG31" s="7">
        <v>54.223697268148371</v>
      </c>
      <c r="CH31" s="7">
        <v>52.31702447673252</v>
      </c>
      <c r="CI31" s="7">
        <v>59.632651335036037</v>
      </c>
      <c r="CJ31" s="40">
        <v>57.9</v>
      </c>
    </row>
    <row r="32" spans="1:88" s="22" customFormat="1" ht="18" customHeight="1" x14ac:dyDescent="0.25">
      <c r="A32" s="26" t="s">
        <v>127</v>
      </c>
      <c r="B32" s="29">
        <v>44.823989747505046</v>
      </c>
      <c r="C32" s="29">
        <v>45.493390716261914</v>
      </c>
      <c r="D32" s="29">
        <v>50.045842520028813</v>
      </c>
      <c r="E32" s="29">
        <v>48.540457790152047</v>
      </c>
      <c r="F32" s="29">
        <v>48.873754883094946</v>
      </c>
      <c r="G32" s="29">
        <v>48.942131122196955</v>
      </c>
      <c r="H32" s="29">
        <v>48.17046190112746</v>
      </c>
      <c r="I32" s="29">
        <v>46.759758966912308</v>
      </c>
      <c r="J32" s="29">
        <v>47.140159555564949</v>
      </c>
      <c r="K32" s="29">
        <v>48.822773179243981</v>
      </c>
      <c r="L32" s="13">
        <v>43.237027226368255</v>
      </c>
      <c r="M32" s="13">
        <v>41.907684444516555</v>
      </c>
      <c r="N32" s="13">
        <v>45.295472895976054</v>
      </c>
      <c r="O32" s="13">
        <v>39.597760186537194</v>
      </c>
      <c r="P32" s="13">
        <v>38.879458854621404</v>
      </c>
      <c r="Q32" s="13">
        <v>41.88540073139653</v>
      </c>
      <c r="R32" s="51">
        <f t="shared" si="26"/>
        <v>41.322205365578625</v>
      </c>
      <c r="S32" s="13">
        <v>40.759009999760728</v>
      </c>
      <c r="T32" s="13">
        <v>37.406838430574027</v>
      </c>
      <c r="U32" s="13">
        <v>37.04853341421429</v>
      </c>
      <c r="V32" s="13">
        <v>33.726118844984235</v>
      </c>
      <c r="W32" s="13">
        <v>40.711290643558648</v>
      </c>
      <c r="X32" s="13">
        <v>38.702762489137015</v>
      </c>
      <c r="Y32" s="13">
        <v>37.222272009706266</v>
      </c>
      <c r="Z32" s="13">
        <v>34.49293577481675</v>
      </c>
      <c r="AA32" s="13">
        <v>36.551199714157448</v>
      </c>
      <c r="AB32" s="13">
        <v>42.093001858565039</v>
      </c>
      <c r="AC32" s="13">
        <v>39.905485063786408</v>
      </c>
      <c r="AD32" s="13">
        <v>34.827751450934457</v>
      </c>
      <c r="AE32" s="13">
        <v>33.809022223062293</v>
      </c>
      <c r="AF32" s="13">
        <v>36.526129612013506</v>
      </c>
      <c r="AG32" s="13">
        <v>35.899630946563086</v>
      </c>
      <c r="AH32" s="13">
        <v>31.434738816461483</v>
      </c>
      <c r="AI32" s="13">
        <v>31.076263376886104</v>
      </c>
      <c r="AJ32" s="13">
        <v>31.157695148552218</v>
      </c>
      <c r="AK32" s="13">
        <v>31.10240822972473</v>
      </c>
      <c r="AL32" s="13">
        <v>32.931476112271312</v>
      </c>
      <c r="AM32" s="13">
        <v>37.018064203717053</v>
      </c>
      <c r="AN32" s="13">
        <v>31</v>
      </c>
      <c r="AO32" s="13">
        <v>30.5458602</v>
      </c>
      <c r="AP32" s="7">
        <v>31.121583924756131</v>
      </c>
      <c r="AQ32" s="7">
        <v>33.230870930424722</v>
      </c>
      <c r="AR32" s="7">
        <v>28.816316060368834</v>
      </c>
      <c r="AS32" s="7">
        <v>28.515028807774801</v>
      </c>
      <c r="AT32" s="7">
        <v>28.338692921118618</v>
      </c>
      <c r="AU32" s="7">
        <v>30.577318105109708</v>
      </c>
      <c r="AV32" s="7">
        <v>30.243007593939719</v>
      </c>
      <c r="AW32" s="7">
        <v>28.037870045676193</v>
      </c>
      <c r="AX32" s="51">
        <f t="shared" si="27"/>
        <v>31.853789541339392</v>
      </c>
      <c r="AY32" s="51">
        <f t="shared" si="28"/>
        <v>33.761749289170993</v>
      </c>
      <c r="AZ32" s="51">
        <f t="shared" si="29"/>
        <v>34.715729163086792</v>
      </c>
      <c r="BA32" s="28">
        <v>35.66970903700259</v>
      </c>
      <c r="BB32" s="7">
        <v>32.655518499381522</v>
      </c>
      <c r="BC32" s="7">
        <v>31.066019414590514</v>
      </c>
      <c r="BD32" s="7">
        <v>34.957100369832233</v>
      </c>
      <c r="BE32" s="7">
        <v>35.602377988104038</v>
      </c>
      <c r="BF32" s="7">
        <v>34.136778367872864</v>
      </c>
      <c r="BG32" s="7">
        <v>30.207626523567715</v>
      </c>
      <c r="BH32" s="7">
        <v>31.423538131785378</v>
      </c>
      <c r="BI32" s="7">
        <v>32.415325143465964</v>
      </c>
      <c r="BJ32" s="7">
        <v>29.917338407244536</v>
      </c>
      <c r="BK32" s="40">
        <v>31.0732814477558</v>
      </c>
      <c r="BL32" s="7">
        <v>31.701986111195495</v>
      </c>
      <c r="BM32" s="7">
        <v>31.919282431641143</v>
      </c>
      <c r="BN32" s="7">
        <v>30.61591368647883</v>
      </c>
      <c r="BO32" s="7">
        <v>29.041989973313765</v>
      </c>
      <c r="BP32" s="7">
        <v>27.79038695553897</v>
      </c>
      <c r="BQ32" s="7">
        <v>19.871495431644696</v>
      </c>
      <c r="BR32" s="7">
        <v>24.922432837179286</v>
      </c>
      <c r="BS32" s="7">
        <v>23.252967421500127</v>
      </c>
      <c r="BT32" s="7">
        <v>25.479030130591219</v>
      </c>
      <c r="BU32" s="7">
        <v>24.885038788220754</v>
      </c>
      <c r="BV32" s="7">
        <v>33.652764841836557</v>
      </c>
      <c r="BW32" s="7">
        <v>25.638939149247577</v>
      </c>
      <c r="BX32" s="40">
        <v>29.140650278670439</v>
      </c>
      <c r="BY32" s="7">
        <v>33.37849816904852</v>
      </c>
      <c r="BZ32" s="7">
        <v>33.841903076867148</v>
      </c>
      <c r="CA32" s="7">
        <v>31.472850040284268</v>
      </c>
      <c r="CB32" s="7">
        <v>32.465470032678937</v>
      </c>
      <c r="CC32" s="7">
        <v>37.584525318203063</v>
      </c>
      <c r="CD32" s="7">
        <v>31.413953258016409</v>
      </c>
      <c r="CE32" s="7">
        <v>36.017701221786361</v>
      </c>
      <c r="CF32" s="7">
        <v>31.45673933221283</v>
      </c>
      <c r="CG32" s="7">
        <v>31.985338964521215</v>
      </c>
      <c r="CH32" s="7">
        <v>35.138905625171589</v>
      </c>
      <c r="CI32" s="7">
        <v>35.419455138377195</v>
      </c>
      <c r="CJ32" s="40">
        <v>35.700000000000003</v>
      </c>
    </row>
    <row r="33" spans="1:88" s="22" customFormat="1" ht="18" customHeight="1" x14ac:dyDescent="0.25">
      <c r="A33" s="26" t="s">
        <v>128</v>
      </c>
      <c r="B33" s="29">
        <v>33.972641846962667</v>
      </c>
      <c r="C33" s="29">
        <v>31.89285402669924</v>
      </c>
      <c r="D33" s="29">
        <v>37.213130430031143</v>
      </c>
      <c r="E33" s="29">
        <v>36.042472428450196</v>
      </c>
      <c r="F33" s="29">
        <v>37.268675615021188</v>
      </c>
      <c r="G33" s="29">
        <v>37.957101748114788</v>
      </c>
      <c r="H33" s="29">
        <v>35.216119754110906</v>
      </c>
      <c r="I33" s="29">
        <v>32.971891709931768</v>
      </c>
      <c r="J33" s="29">
        <v>32.807197294860792</v>
      </c>
      <c r="K33" s="29">
        <v>30.372592272457798</v>
      </c>
      <c r="L33" s="13">
        <v>28.843101139179701</v>
      </c>
      <c r="M33" s="13">
        <v>27.778742008637913</v>
      </c>
      <c r="N33" s="13">
        <v>30.185909064057437</v>
      </c>
      <c r="O33" s="13">
        <v>29.610190738558313</v>
      </c>
      <c r="P33" s="13">
        <v>29.59092236852689</v>
      </c>
      <c r="Q33" s="13">
        <v>28.624719168479839</v>
      </c>
      <c r="R33" s="51">
        <f t="shared" si="26"/>
        <v>27.525216530025546</v>
      </c>
      <c r="S33" s="13">
        <v>26.425713891571252</v>
      </c>
      <c r="T33" s="13">
        <v>25.948356471843358</v>
      </c>
      <c r="U33" s="13">
        <v>22.659662459512191</v>
      </c>
      <c r="V33" s="13">
        <v>26.549230202288154</v>
      </c>
      <c r="W33" s="13">
        <v>27.415609954567032</v>
      </c>
      <c r="X33" s="13">
        <v>25.831145410482932</v>
      </c>
      <c r="Y33" s="13">
        <v>24.717550546530127</v>
      </c>
      <c r="Z33" s="13">
        <v>21.491128573868227</v>
      </c>
      <c r="AA33" s="13">
        <v>25.281692754729789</v>
      </c>
      <c r="AB33" s="13">
        <v>22.521656862705516</v>
      </c>
      <c r="AC33" s="13">
        <v>24.474531270328484</v>
      </c>
      <c r="AD33" s="13">
        <v>23.473473601692856</v>
      </c>
      <c r="AE33" s="13">
        <v>24.648734725851916</v>
      </c>
      <c r="AF33" s="13">
        <v>21.01552476878004</v>
      </c>
      <c r="AG33" s="13">
        <v>20.91666676009503</v>
      </c>
      <c r="AH33" s="13">
        <v>21.21930130756602</v>
      </c>
      <c r="AI33" s="13">
        <v>24.489934871606323</v>
      </c>
      <c r="AJ33" s="13">
        <v>21.029455551108676</v>
      </c>
      <c r="AK33" s="13">
        <v>21.730862836331319</v>
      </c>
      <c r="AL33" s="13">
        <v>21.809266838669576</v>
      </c>
      <c r="AM33" s="13">
        <v>25.519594745481829</v>
      </c>
      <c r="AN33" s="13">
        <v>20.6</v>
      </c>
      <c r="AO33" s="13">
        <v>23.531905500000001</v>
      </c>
      <c r="AP33" s="7">
        <v>24.358300044550599</v>
      </c>
      <c r="AQ33" s="7">
        <v>23.42688545596733</v>
      </c>
      <c r="AR33" s="7">
        <v>21.193407705893943</v>
      </c>
      <c r="AS33" s="7">
        <v>19.729720899791957</v>
      </c>
      <c r="AT33" s="7">
        <v>21.302398855910536</v>
      </c>
      <c r="AU33" s="7">
        <v>21.074311123088325</v>
      </c>
      <c r="AV33" s="7">
        <v>19.683804566886028</v>
      </c>
      <c r="AW33" s="7">
        <v>21.444705909988301</v>
      </c>
      <c r="AX33" s="51">
        <f t="shared" si="27"/>
        <v>20.834285948639554</v>
      </c>
      <c r="AY33" s="51">
        <f t="shared" si="28"/>
        <v>20.529075967965177</v>
      </c>
      <c r="AZ33" s="51">
        <f t="shared" si="29"/>
        <v>20.376470977627989</v>
      </c>
      <c r="BA33" s="28">
        <v>20.223865987290804</v>
      </c>
      <c r="BB33" s="7">
        <v>19.489727816895943</v>
      </c>
      <c r="BC33" s="7">
        <v>22.761802963129117</v>
      </c>
      <c r="BD33" s="7">
        <v>27.241451328977234</v>
      </c>
      <c r="BE33" s="7">
        <v>25.064630134641021</v>
      </c>
      <c r="BF33" s="7">
        <v>21.99794573076062</v>
      </c>
      <c r="BG33" s="7">
        <v>21.263246863012807</v>
      </c>
      <c r="BH33" s="7">
        <v>23.390598002970453</v>
      </c>
      <c r="BI33" s="7">
        <v>22.288063194126316</v>
      </c>
      <c r="BJ33" s="7">
        <v>21.744163255041624</v>
      </c>
      <c r="BK33" s="40">
        <v>26.001135243330449</v>
      </c>
      <c r="BL33" s="7">
        <v>25.198481225282361</v>
      </c>
      <c r="BM33" s="7">
        <v>24.217334682544468</v>
      </c>
      <c r="BN33" s="7">
        <v>25.943776689661433</v>
      </c>
      <c r="BO33" s="7">
        <v>24.530600426555679</v>
      </c>
      <c r="BP33" s="7">
        <v>25.457310440011021</v>
      </c>
      <c r="BQ33" s="7">
        <v>15.586685318973611</v>
      </c>
      <c r="BR33" s="7">
        <v>18.098422872005148</v>
      </c>
      <c r="BS33" s="7">
        <v>21.710567706968991</v>
      </c>
      <c r="BT33" s="7">
        <v>25.902509740794265</v>
      </c>
      <c r="BU33" s="7">
        <v>22.706893214964495</v>
      </c>
      <c r="BV33" s="7">
        <v>24.686712953909872</v>
      </c>
      <c r="BW33" s="7">
        <v>23.98697924879372</v>
      </c>
      <c r="BX33" s="40">
        <v>24.706609358098508</v>
      </c>
      <c r="BY33" s="7">
        <v>26.611727615014036</v>
      </c>
      <c r="BZ33" s="7">
        <v>27.775553593590978</v>
      </c>
      <c r="CA33" s="7">
        <v>26.492816936191232</v>
      </c>
      <c r="CB33" s="7">
        <v>26.780170893171046</v>
      </c>
      <c r="CC33" s="7">
        <v>27.660230361796934</v>
      </c>
      <c r="CD33" s="7">
        <v>27.478932788160513</v>
      </c>
      <c r="CE33" s="7">
        <v>26.285585960709824</v>
      </c>
      <c r="CF33" s="7">
        <v>27.418002644645732</v>
      </c>
      <c r="CG33" s="7">
        <v>27.649718432418823</v>
      </c>
      <c r="CH33" s="7">
        <v>27.059611458038361</v>
      </c>
      <c r="CI33" s="7">
        <v>22.339870790398486</v>
      </c>
      <c r="CJ33" s="40">
        <v>23.6</v>
      </c>
    </row>
    <row r="34" spans="1:88" s="22" customFormat="1" ht="18" customHeight="1" x14ac:dyDescent="0.25">
      <c r="A34" s="26" t="s">
        <v>129</v>
      </c>
      <c r="B34" s="29">
        <v>18.628742465045313</v>
      </c>
      <c r="C34" s="29">
        <v>19.571425408983242</v>
      </c>
      <c r="D34" s="29">
        <v>18.144778926051526</v>
      </c>
      <c r="E34" s="29">
        <v>17.148472997651211</v>
      </c>
      <c r="F34" s="29">
        <v>15.555846975426018</v>
      </c>
      <c r="G34" s="29">
        <v>16.379336310472141</v>
      </c>
      <c r="H34" s="29">
        <v>14.023157870502082</v>
      </c>
      <c r="I34" s="29">
        <v>15.676214823286466</v>
      </c>
      <c r="J34" s="29">
        <v>15.216111418617045</v>
      </c>
      <c r="K34" s="29">
        <v>12.717949446381773</v>
      </c>
      <c r="L34" s="13">
        <v>12.960517764938025</v>
      </c>
      <c r="M34" s="13">
        <v>11.827537976577341</v>
      </c>
      <c r="N34" s="13">
        <v>10.228359267009234</v>
      </c>
      <c r="O34" s="13">
        <v>12.137485427387707</v>
      </c>
      <c r="P34" s="13">
        <v>8.5557409373578039</v>
      </c>
      <c r="Q34" s="13">
        <v>8.7841423695390386</v>
      </c>
      <c r="R34" s="51">
        <f t="shared" si="26"/>
        <v>10.787260358075171</v>
      </c>
      <c r="S34" s="13">
        <v>12.790378346611304</v>
      </c>
      <c r="T34" s="13">
        <v>8.4726102946158282</v>
      </c>
      <c r="U34" s="13">
        <v>8.4736586614663398</v>
      </c>
      <c r="V34" s="13">
        <v>8.5019782295201338</v>
      </c>
      <c r="W34" s="13">
        <v>8.0073986929154302</v>
      </c>
      <c r="X34" s="13">
        <v>6.2205152079453754</v>
      </c>
      <c r="Y34" s="13">
        <v>8.8338363813120644</v>
      </c>
      <c r="Z34" s="13">
        <v>7.2440019953120895</v>
      </c>
      <c r="AA34" s="13">
        <v>6.4979910165183092</v>
      </c>
      <c r="AB34" s="13">
        <v>7.4225296205581923</v>
      </c>
      <c r="AC34" s="13">
        <v>6.5045678292712132</v>
      </c>
      <c r="AD34" s="13">
        <v>6.3430337772105814</v>
      </c>
      <c r="AE34" s="13">
        <v>6.7065651854670296</v>
      </c>
      <c r="AF34" s="13">
        <v>6.9461214823903443</v>
      </c>
      <c r="AG34" s="13">
        <v>7.8297711817634035</v>
      </c>
      <c r="AH34" s="13">
        <v>7.0063294791162312</v>
      </c>
      <c r="AI34" s="13">
        <v>8.4050088788996717</v>
      </c>
      <c r="AJ34" s="13">
        <v>6.2909610030365926</v>
      </c>
      <c r="AK34" s="13">
        <v>8.0454565665378546</v>
      </c>
      <c r="AL34" s="13">
        <v>8.0605123469294035</v>
      </c>
      <c r="AM34" s="13">
        <v>7.8173351574099534</v>
      </c>
      <c r="AN34" s="13">
        <v>5.5</v>
      </c>
      <c r="AO34" s="13">
        <v>8.3511902100000004</v>
      </c>
      <c r="AP34" s="7">
        <v>7.5120946120988297</v>
      </c>
      <c r="AQ34" s="7">
        <v>6.5048577891963566</v>
      </c>
      <c r="AR34" s="7">
        <v>7.9905544521413088</v>
      </c>
      <c r="AS34" s="7">
        <v>8.4524030478721297</v>
      </c>
      <c r="AT34" s="7">
        <v>8.4898603322297621</v>
      </c>
      <c r="AU34" s="7">
        <v>9.5694024564239175</v>
      </c>
      <c r="AV34" s="7">
        <v>6.232602844636272</v>
      </c>
      <c r="AW34" s="7">
        <v>6.4368673319773819</v>
      </c>
      <c r="AX34" s="51">
        <f t="shared" si="27"/>
        <v>7.854930053963205</v>
      </c>
      <c r="AY34" s="51">
        <f t="shared" si="28"/>
        <v>8.5639614149561165</v>
      </c>
      <c r="AZ34" s="51">
        <f t="shared" si="29"/>
        <v>8.9184770954525732</v>
      </c>
      <c r="BA34" s="28">
        <v>9.272992775949028</v>
      </c>
      <c r="BB34" s="7">
        <v>7.3161178145271473</v>
      </c>
      <c r="BC34" s="7">
        <v>8.8499245457935576</v>
      </c>
      <c r="BD34" s="7">
        <v>6.0449712181777375</v>
      </c>
      <c r="BE34" s="7">
        <v>7.503818795837053</v>
      </c>
      <c r="BF34" s="7">
        <v>7.9567785454085866</v>
      </c>
      <c r="BG34" s="7">
        <v>9.1240036870357315</v>
      </c>
      <c r="BH34" s="7">
        <v>7.4361643810374929</v>
      </c>
      <c r="BI34" s="7">
        <v>9.180163933505245</v>
      </c>
      <c r="BJ34" s="7">
        <v>9.7496362514819879</v>
      </c>
      <c r="BK34" s="40">
        <v>10.275993449271519</v>
      </c>
      <c r="BL34" s="7">
        <v>9.0622336886097532</v>
      </c>
      <c r="BM34" s="7">
        <v>7.9493001940464882</v>
      </c>
      <c r="BN34" s="7">
        <v>8.7428522993264703</v>
      </c>
      <c r="BO34" s="7">
        <v>9.4919326228707419</v>
      </c>
      <c r="BP34" s="7">
        <v>8.2817022456965255</v>
      </c>
      <c r="BQ34" s="7">
        <v>4.29712853819915</v>
      </c>
      <c r="BR34" s="7">
        <v>4.2511910027435551</v>
      </c>
      <c r="BS34" s="7">
        <v>5.8210763561517229</v>
      </c>
      <c r="BT34" s="7">
        <v>8.0926296498426744</v>
      </c>
      <c r="BU34" s="7">
        <v>8.2813617804725865</v>
      </c>
      <c r="BV34" s="7">
        <v>6.827109050648926</v>
      </c>
      <c r="BW34" s="7">
        <v>8.7708364694666052</v>
      </c>
      <c r="BX34" s="40">
        <v>7.1486408328513589</v>
      </c>
      <c r="BY34" s="7">
        <v>7.8741671377922025</v>
      </c>
      <c r="BZ34" s="7">
        <v>8.8057877397503965</v>
      </c>
      <c r="CA34" s="7">
        <v>8.9549038288811502</v>
      </c>
      <c r="CB34" s="7">
        <v>5.6423711000130421</v>
      </c>
      <c r="CC34" s="7">
        <v>8.5302688254109622</v>
      </c>
      <c r="CD34" s="7">
        <v>9.7467238813517696</v>
      </c>
      <c r="CE34" s="7">
        <v>9.918962913339092</v>
      </c>
      <c r="CF34" s="7">
        <v>8.0089127739273156</v>
      </c>
      <c r="CG34" s="7">
        <v>8.7054730802498597</v>
      </c>
      <c r="CH34" s="7">
        <v>9.9032367155028531</v>
      </c>
      <c r="CI34" s="7">
        <v>9.384476986283584</v>
      </c>
      <c r="CJ34" s="40">
        <v>9</v>
      </c>
    </row>
    <row r="35" spans="1:88" s="22" customFormat="1" ht="18" customHeight="1" x14ac:dyDescent="0.25">
      <c r="A35" s="26" t="s">
        <v>130</v>
      </c>
      <c r="B35" s="29">
        <v>56.88077527519463</v>
      </c>
      <c r="C35" s="29">
        <v>53.235303112345591</v>
      </c>
      <c r="D35" s="29">
        <v>50.79208394874383</v>
      </c>
      <c r="E35" s="29">
        <v>47.659668396049504</v>
      </c>
      <c r="F35" s="29">
        <v>49.991424464972368</v>
      </c>
      <c r="G35" s="29">
        <v>47.831711612948972</v>
      </c>
      <c r="H35" s="29">
        <v>44.123412871118511</v>
      </c>
      <c r="I35" s="29">
        <v>45.966491511195244</v>
      </c>
      <c r="J35" s="29">
        <v>43.369810505960743</v>
      </c>
      <c r="K35" s="29">
        <v>43.386789066386299</v>
      </c>
      <c r="L35" s="13">
        <v>41.290733564658062</v>
      </c>
      <c r="M35" s="13">
        <v>42.289141169960381</v>
      </c>
      <c r="N35" s="13">
        <v>44.481279091645334</v>
      </c>
      <c r="O35" s="13">
        <v>38.168524346259773</v>
      </c>
      <c r="P35" s="13">
        <v>39.731160161183617</v>
      </c>
      <c r="Q35" s="13">
        <v>31.951104842501177</v>
      </c>
      <c r="R35" s="51">
        <f t="shared" si="26"/>
        <v>32.234306526912228</v>
      </c>
      <c r="S35" s="13">
        <v>32.517508211323275</v>
      </c>
      <c r="T35" s="13">
        <v>28.788378802449767</v>
      </c>
      <c r="U35" s="13">
        <v>27.253060017426272</v>
      </c>
      <c r="V35" s="13">
        <v>26.920398504896038</v>
      </c>
      <c r="W35" s="13">
        <v>27.768296006509885</v>
      </c>
      <c r="X35" s="13">
        <v>25.616368719816997</v>
      </c>
      <c r="Y35" s="13">
        <v>23.406572657981297</v>
      </c>
      <c r="Z35" s="13">
        <v>26.298423097280615</v>
      </c>
      <c r="AA35" s="13">
        <v>23.730319753286803</v>
      </c>
      <c r="AB35" s="13">
        <v>23.873249479478623</v>
      </c>
      <c r="AC35" s="13">
        <v>21.723108202554165</v>
      </c>
      <c r="AD35" s="13">
        <v>26.244304241149667</v>
      </c>
      <c r="AE35" s="13">
        <v>24.121077945869665</v>
      </c>
      <c r="AF35" s="13">
        <v>26.301707950331281</v>
      </c>
      <c r="AG35" s="13">
        <v>22.159230519248908</v>
      </c>
      <c r="AH35" s="13">
        <v>21.971451206572453</v>
      </c>
      <c r="AI35" s="13">
        <v>21.511868095010207</v>
      </c>
      <c r="AJ35" s="13">
        <v>25.589170971958886</v>
      </c>
      <c r="AK35" s="13">
        <v>21.080390730377463</v>
      </c>
      <c r="AL35" s="13">
        <v>22.259495099694583</v>
      </c>
      <c r="AM35" s="13">
        <v>18.941014215998305</v>
      </c>
      <c r="AN35" s="13">
        <v>17.7</v>
      </c>
      <c r="AO35" s="13">
        <v>20.446173900000002</v>
      </c>
      <c r="AP35" s="7">
        <v>21.120480437916058</v>
      </c>
      <c r="AQ35" s="7">
        <v>15.711790206338813</v>
      </c>
      <c r="AR35" s="7">
        <v>18.948243555098198</v>
      </c>
      <c r="AS35" s="7">
        <v>21.553309473778924</v>
      </c>
      <c r="AT35" s="7">
        <v>20.566554221169259</v>
      </c>
      <c r="AU35" s="7">
        <v>19.924719390682284</v>
      </c>
      <c r="AV35" s="7">
        <v>19.96217733678229</v>
      </c>
      <c r="AW35" s="7">
        <v>16.267760474527119</v>
      </c>
      <c r="AX35" s="51">
        <f t="shared" si="27"/>
        <v>17.278263491604093</v>
      </c>
      <c r="AY35" s="51">
        <f t="shared" si="28"/>
        <v>17.783515000142579</v>
      </c>
      <c r="AZ35" s="51">
        <f t="shared" si="29"/>
        <v>18.036140754411825</v>
      </c>
      <c r="BA35" s="28">
        <v>18.288766508681068</v>
      </c>
      <c r="BB35" s="7">
        <v>22.821157718012877</v>
      </c>
      <c r="BC35" s="7">
        <v>22.2464326139058</v>
      </c>
      <c r="BD35" s="7">
        <v>17.592236915209135</v>
      </c>
      <c r="BE35" s="7">
        <v>22.262812009312903</v>
      </c>
      <c r="BF35" s="7">
        <v>21.656872796379183</v>
      </c>
      <c r="BG35" s="7">
        <v>22.654335807617549</v>
      </c>
      <c r="BH35" s="7">
        <v>21.120616168403316</v>
      </c>
      <c r="BI35" s="7">
        <v>24.49294466580784</v>
      </c>
      <c r="BJ35" s="7">
        <v>23.158066533408096</v>
      </c>
      <c r="BK35" s="40">
        <v>24.350681207821989</v>
      </c>
      <c r="BL35" s="7">
        <v>23.508493548961198</v>
      </c>
      <c r="BM35" s="7">
        <v>20.613283429170139</v>
      </c>
      <c r="BN35" s="7">
        <v>22.758262163422984</v>
      </c>
      <c r="BO35" s="7">
        <v>26.944423753110669</v>
      </c>
      <c r="BP35" s="7">
        <v>25.940617253856651</v>
      </c>
      <c r="BQ35" s="7">
        <v>16.289995858761287</v>
      </c>
      <c r="BR35" s="7">
        <v>21.143742514924266</v>
      </c>
      <c r="BS35" s="7">
        <v>24.61310591453298</v>
      </c>
      <c r="BT35" s="7">
        <v>25.145900363117697</v>
      </c>
      <c r="BU35" s="7">
        <v>25.432831313931981</v>
      </c>
      <c r="BV35" s="7">
        <v>27.291106145591076</v>
      </c>
      <c r="BW35" s="7">
        <v>23.24418585306168</v>
      </c>
      <c r="BX35" s="40">
        <v>27.429620918448826</v>
      </c>
      <c r="BY35" s="7">
        <v>32.275673318395768</v>
      </c>
      <c r="BZ35" s="7">
        <v>29.679957205855491</v>
      </c>
      <c r="CA35" s="7">
        <v>26.476227278807425</v>
      </c>
      <c r="CB35" s="7">
        <v>29.899497116357381</v>
      </c>
      <c r="CC35" s="7">
        <v>27.148054226385597</v>
      </c>
      <c r="CD35" s="7">
        <v>25.240014961971657</v>
      </c>
      <c r="CE35" s="7">
        <v>27.564444727892333</v>
      </c>
      <c r="CF35" s="7">
        <v>28.581981570329756</v>
      </c>
      <c r="CG35" s="7">
        <v>28.14802368827068</v>
      </c>
      <c r="CH35" s="7">
        <v>27.581441594135331</v>
      </c>
      <c r="CI35" s="7">
        <v>26.520931224051868</v>
      </c>
      <c r="CJ35" s="40">
        <v>26.4</v>
      </c>
    </row>
    <row r="36" spans="1:88" s="22" customFormat="1" ht="18" customHeight="1" x14ac:dyDescent="0.25">
      <c r="A36" s="26" t="s">
        <v>131</v>
      </c>
      <c r="B36" s="29">
        <v>95.364862124275589</v>
      </c>
      <c r="C36" s="29">
        <v>95.296899503796837</v>
      </c>
      <c r="D36" s="29">
        <v>93.496974136362965</v>
      </c>
      <c r="E36" s="29">
        <v>95.114722799516414</v>
      </c>
      <c r="F36" s="29">
        <v>96.282342318282105</v>
      </c>
      <c r="G36" s="29">
        <v>94.717066456642257</v>
      </c>
      <c r="H36" s="29">
        <v>95.012488921118361</v>
      </c>
      <c r="I36" s="29">
        <v>96.184029564757225</v>
      </c>
      <c r="J36" s="29">
        <v>94.829642210584282</v>
      </c>
      <c r="K36" s="29">
        <v>96.129646155968402</v>
      </c>
      <c r="L36" s="13">
        <v>93.316623627211612</v>
      </c>
      <c r="M36" s="13">
        <v>92.655922496161963</v>
      </c>
      <c r="N36" s="13">
        <v>92.331143969200824</v>
      </c>
      <c r="O36" s="13">
        <v>90.462799846013823</v>
      </c>
      <c r="P36" s="13">
        <v>90.278477584696176</v>
      </c>
      <c r="Q36" s="13">
        <v>90.421926617855704</v>
      </c>
      <c r="R36" s="51">
        <f t="shared" si="26"/>
        <v>90.058044734218129</v>
      </c>
      <c r="S36" s="13">
        <v>89.694162850580568</v>
      </c>
      <c r="T36" s="13">
        <v>87.191074614335179</v>
      </c>
      <c r="U36" s="13">
        <v>85.544950759428062</v>
      </c>
      <c r="V36" s="13">
        <v>86.572603346945641</v>
      </c>
      <c r="W36" s="13">
        <v>88.676783946009877</v>
      </c>
      <c r="X36" s="13">
        <v>87.091753795542985</v>
      </c>
      <c r="Y36" s="13">
        <v>85.445849509236353</v>
      </c>
      <c r="Z36" s="13">
        <v>83.205428670164309</v>
      </c>
      <c r="AA36" s="13">
        <v>86.196525275300459</v>
      </c>
      <c r="AB36" s="13">
        <v>86.253920185902487</v>
      </c>
      <c r="AC36" s="13">
        <v>84.682419681154414</v>
      </c>
      <c r="AD36" s="13">
        <v>84.348172789107551</v>
      </c>
      <c r="AE36" s="13">
        <v>81.758158120064692</v>
      </c>
      <c r="AF36" s="13">
        <v>84.855935652516877</v>
      </c>
      <c r="AG36" s="13">
        <v>83.342714236373169</v>
      </c>
      <c r="AH36" s="13">
        <v>83.028595779260996</v>
      </c>
      <c r="AI36" s="13">
        <v>82.758563962390696</v>
      </c>
      <c r="AJ36" s="13">
        <v>82.945026174596336</v>
      </c>
      <c r="AK36" s="13">
        <v>83.601643736583867</v>
      </c>
      <c r="AL36" s="13">
        <v>83.609527892513057</v>
      </c>
      <c r="AM36" s="13">
        <v>84.575535665852996</v>
      </c>
      <c r="AN36" s="13">
        <v>81.8</v>
      </c>
      <c r="AO36" s="13">
        <v>80.158818299999993</v>
      </c>
      <c r="AP36" s="7">
        <v>80.475459454472301</v>
      </c>
      <c r="AQ36" s="7">
        <v>77.708944909166249</v>
      </c>
      <c r="AR36" s="7">
        <v>78.580130538984932</v>
      </c>
      <c r="AS36" s="7">
        <v>78.994911510223631</v>
      </c>
      <c r="AT36" s="7">
        <v>76.864378228416513</v>
      </c>
      <c r="AU36" s="7">
        <v>76.961638396045316</v>
      </c>
      <c r="AV36" s="7">
        <v>75.059333837144266</v>
      </c>
      <c r="AW36" s="7">
        <v>79.268111648639447</v>
      </c>
      <c r="AX36" s="51">
        <f t="shared" si="27"/>
        <v>75.99865642016195</v>
      </c>
      <c r="AY36" s="51">
        <f t="shared" si="28"/>
        <v>74.363928805923194</v>
      </c>
      <c r="AZ36" s="51">
        <f t="shared" si="29"/>
        <v>73.546564998803831</v>
      </c>
      <c r="BA36" s="28">
        <v>72.729201191684453</v>
      </c>
      <c r="BB36" s="7">
        <v>75.831320160746301</v>
      </c>
      <c r="BC36" s="7">
        <v>76.014438137544303</v>
      </c>
      <c r="BD36" s="7">
        <v>74.45005958451334</v>
      </c>
      <c r="BE36" s="7">
        <v>75.428697018488435</v>
      </c>
      <c r="BF36" s="7">
        <v>74.830032379177709</v>
      </c>
      <c r="BG36" s="7">
        <v>75.7693930991813</v>
      </c>
      <c r="BH36" s="7">
        <v>76.000819824590721</v>
      </c>
      <c r="BI36" s="7">
        <v>74.888861249800115</v>
      </c>
      <c r="BJ36" s="7">
        <v>75.934366146132916</v>
      </c>
      <c r="BK36" s="40">
        <v>75.434106929929158</v>
      </c>
      <c r="BL36" s="7">
        <v>75.655313660230334</v>
      </c>
      <c r="BM36" s="7">
        <v>73.168244023405634</v>
      </c>
      <c r="BN36" s="7">
        <v>72.929773141630704</v>
      </c>
      <c r="BO36" s="7">
        <v>75.852206734707977</v>
      </c>
      <c r="BP36" s="7">
        <v>74.666001662510396</v>
      </c>
      <c r="BQ36" s="7">
        <v>59.351055139670819</v>
      </c>
      <c r="BR36" s="7">
        <v>65.261452795243258</v>
      </c>
      <c r="BS36" s="7">
        <v>69.049493821002145</v>
      </c>
      <c r="BT36" s="7">
        <v>70.785155492742831</v>
      </c>
      <c r="BU36" s="7">
        <v>72.694581781441869</v>
      </c>
      <c r="BV36" s="7">
        <v>77.382996039141688</v>
      </c>
      <c r="BW36" s="7">
        <v>78.160266286810668</v>
      </c>
      <c r="BX36" s="40">
        <v>75.521833045505332</v>
      </c>
      <c r="BY36" s="7">
        <v>75.300428776513314</v>
      </c>
      <c r="BZ36" s="7">
        <v>78.25943526178942</v>
      </c>
      <c r="CA36" s="7">
        <v>78.35988444901237</v>
      </c>
      <c r="CB36" s="7">
        <v>75.646622434471951</v>
      </c>
      <c r="CC36" s="7">
        <v>74.417292778972282</v>
      </c>
      <c r="CD36" s="7">
        <v>74.079562520893518</v>
      </c>
      <c r="CE36" s="7">
        <v>75.585058479290581</v>
      </c>
      <c r="CF36" s="7">
        <v>75.44642912125606</v>
      </c>
      <c r="CG36" s="7">
        <v>76.301297203805134</v>
      </c>
      <c r="CH36" s="7">
        <v>78.64940263964472</v>
      </c>
      <c r="CI36" s="7">
        <v>76.648542505529406</v>
      </c>
      <c r="CJ36" s="40">
        <v>75.400000000000006</v>
      </c>
    </row>
    <row r="37" spans="1:88" s="22" customFormat="1" ht="18" customHeight="1" thickBot="1" x14ac:dyDescent="0.3">
      <c r="A37" s="30" t="s">
        <v>132</v>
      </c>
      <c r="B37" s="29">
        <v>32.442399891302237</v>
      </c>
      <c r="C37" s="29">
        <v>37.571708312648241</v>
      </c>
      <c r="D37" s="29">
        <v>36.330011878332549</v>
      </c>
      <c r="E37" s="29">
        <v>33.592235475378196</v>
      </c>
      <c r="F37" s="29">
        <v>30.367655168610579</v>
      </c>
      <c r="G37" s="29">
        <v>34.108141457261389</v>
      </c>
      <c r="H37" s="29">
        <v>33.177261782460818</v>
      </c>
      <c r="I37" s="29">
        <v>33.53050286635419</v>
      </c>
      <c r="J37" s="29">
        <v>31.159545415682455</v>
      </c>
      <c r="K37" s="29">
        <v>29.566779130479404</v>
      </c>
      <c r="L37" s="13">
        <v>28.962267326399409</v>
      </c>
      <c r="M37" s="13">
        <v>29.38741884552643</v>
      </c>
      <c r="N37" s="13">
        <v>25.933987117182966</v>
      </c>
      <c r="O37" s="13">
        <v>25.530340255947099</v>
      </c>
      <c r="P37" s="13">
        <v>23.47956042762323</v>
      </c>
      <c r="Q37" s="13">
        <v>24.840291802332771</v>
      </c>
      <c r="R37" s="51">
        <f t="shared" si="26"/>
        <v>23.175840190223614</v>
      </c>
      <c r="S37" s="13">
        <v>21.511388578114456</v>
      </c>
      <c r="T37" s="13">
        <v>19.152536138595654</v>
      </c>
      <c r="U37" s="13">
        <v>18.295182529960606</v>
      </c>
      <c r="V37" s="13">
        <v>20.034181637143377</v>
      </c>
      <c r="W37" s="13">
        <v>20.498427863976463</v>
      </c>
      <c r="X37" s="13">
        <v>17.717678840013722</v>
      </c>
      <c r="Y37" s="29">
        <v>17.745472826838789</v>
      </c>
      <c r="Z37" s="13">
        <v>20.265670110271667</v>
      </c>
      <c r="AA37" s="13">
        <v>19.958918393919799</v>
      </c>
      <c r="AB37" s="13">
        <v>18.110036932866283</v>
      </c>
      <c r="AC37" s="13">
        <v>21.220492415298313</v>
      </c>
      <c r="AD37" s="13">
        <v>21.66706077086782</v>
      </c>
      <c r="AE37" s="13">
        <v>19.178351188970165</v>
      </c>
      <c r="AF37" s="13">
        <v>17.7439038857353</v>
      </c>
      <c r="AG37" s="13">
        <v>19.027441737040103</v>
      </c>
      <c r="AH37" s="13">
        <v>22.943654795312298</v>
      </c>
      <c r="AI37" s="13">
        <v>20.52324570866897</v>
      </c>
      <c r="AJ37" s="13">
        <v>18.677055538180085</v>
      </c>
      <c r="AK37" s="13">
        <v>19.429652744474378</v>
      </c>
      <c r="AL37" s="13">
        <v>20.272938988123141</v>
      </c>
      <c r="AM37" s="13">
        <v>17.762386614730495</v>
      </c>
      <c r="AN37" s="13">
        <v>18.8</v>
      </c>
      <c r="AO37" s="13">
        <v>20.159097599999999</v>
      </c>
      <c r="AP37" s="13">
        <v>20.695786738298931</v>
      </c>
      <c r="AQ37" s="13">
        <v>19.65678265197938</v>
      </c>
      <c r="AR37" s="13">
        <v>19.97152716614778</v>
      </c>
      <c r="AS37" s="13">
        <v>19.813986062927171</v>
      </c>
      <c r="AT37" s="13">
        <v>18.701363927035306</v>
      </c>
      <c r="AU37" s="13">
        <v>19.999931156264953</v>
      </c>
      <c r="AV37" s="13">
        <v>20.018272870365923</v>
      </c>
      <c r="AW37" s="13">
        <v>19.936173299196351</v>
      </c>
      <c r="AX37" s="51">
        <f t="shared" si="27"/>
        <v>17.003530896156782</v>
      </c>
      <c r="AY37" s="51">
        <f t="shared" si="28"/>
        <v>15.537209694636999</v>
      </c>
      <c r="AZ37" s="51">
        <f t="shared" si="29"/>
        <v>14.804049093877108</v>
      </c>
      <c r="BA37" s="28">
        <v>14.070888493117216</v>
      </c>
      <c r="BB37" s="13">
        <v>16.676511476661833</v>
      </c>
      <c r="BC37" s="13">
        <v>17.291093917412358</v>
      </c>
      <c r="BD37" s="13">
        <v>16.850236176715754</v>
      </c>
      <c r="BE37" s="13">
        <v>16.517674780257995</v>
      </c>
      <c r="BF37" s="13">
        <v>19.059718850192077</v>
      </c>
      <c r="BG37" s="13">
        <v>20.74391238930766</v>
      </c>
      <c r="BH37" s="13">
        <v>16.784070058635766</v>
      </c>
      <c r="BI37" s="13">
        <v>22.720471136892357</v>
      </c>
      <c r="BJ37" s="13">
        <v>20.499923252216831</v>
      </c>
      <c r="BK37" s="29">
        <v>22.434748566280131</v>
      </c>
      <c r="BL37" s="13">
        <v>20.935940318247805</v>
      </c>
      <c r="BM37" s="13">
        <v>21.787470584157159</v>
      </c>
      <c r="BN37" s="13">
        <v>21.765466977065838</v>
      </c>
      <c r="BO37" s="13">
        <v>23.289803437172008</v>
      </c>
      <c r="BP37" s="13">
        <v>21.91299391446546</v>
      </c>
      <c r="BQ37" s="13">
        <v>15.59747523170342</v>
      </c>
      <c r="BR37" s="13">
        <v>18.998127632760024</v>
      </c>
      <c r="BS37" s="13">
        <v>18.620229461295608</v>
      </c>
      <c r="BT37" s="13">
        <v>16.397953259798296</v>
      </c>
      <c r="BU37" s="13">
        <v>14.917335347640256</v>
      </c>
      <c r="BV37" s="13">
        <v>19.596919383876777</v>
      </c>
      <c r="BW37" s="13">
        <v>17.461884666329869</v>
      </c>
      <c r="BX37" s="29">
        <v>21.796406530622288</v>
      </c>
      <c r="BY37" s="13">
        <v>21.599465682258611</v>
      </c>
      <c r="BZ37" s="13">
        <v>22.292336371302017</v>
      </c>
      <c r="CA37" s="13">
        <v>19.690546566259343</v>
      </c>
      <c r="CB37" s="13">
        <v>23.734689381794198</v>
      </c>
      <c r="CC37" s="13">
        <v>22.288061223683066</v>
      </c>
      <c r="CD37" s="13">
        <v>20.62013508595976</v>
      </c>
      <c r="CE37" s="13">
        <v>19.865088040741981</v>
      </c>
      <c r="CF37" s="13">
        <v>18.542592221412153</v>
      </c>
      <c r="CG37" s="13">
        <v>19.574022375862114</v>
      </c>
      <c r="CH37" s="13">
        <v>20.437273760046288</v>
      </c>
      <c r="CI37" s="13">
        <v>22.26690902531584</v>
      </c>
      <c r="CJ37" s="29">
        <v>20.9</v>
      </c>
    </row>
    <row r="38" spans="1:88" s="21" customFormat="1" ht="30" customHeight="1" thickBot="1" x14ac:dyDescent="0.3">
      <c r="A38" s="52" t="s">
        <v>133</v>
      </c>
      <c r="B38" s="53">
        <f t="shared" ref="B38:BM38" si="30">+AVERAGE(B39:B41)</f>
        <v>48.510624910080594</v>
      </c>
      <c r="C38" s="53">
        <f t="shared" si="30"/>
        <v>48.340674755209484</v>
      </c>
      <c r="D38" s="53">
        <f t="shared" si="30"/>
        <v>47.271798723923553</v>
      </c>
      <c r="E38" s="53">
        <f t="shared" si="30"/>
        <v>46.371707754381958</v>
      </c>
      <c r="F38" s="53">
        <f t="shared" si="30"/>
        <v>47.068575182041506</v>
      </c>
      <c r="G38" s="53">
        <f t="shared" si="30"/>
        <v>47.623089252609873</v>
      </c>
      <c r="H38" s="53">
        <f t="shared" si="30"/>
        <v>46.040390332197347</v>
      </c>
      <c r="I38" s="53">
        <f t="shared" si="30"/>
        <v>46.340302761386305</v>
      </c>
      <c r="J38" s="53">
        <f t="shared" si="30"/>
        <v>45.716722369029419</v>
      </c>
      <c r="K38" s="53">
        <f t="shared" si="30"/>
        <v>45.542667282861807</v>
      </c>
      <c r="L38" s="53">
        <f t="shared" si="30"/>
        <v>44.571734605415777</v>
      </c>
      <c r="M38" s="53">
        <f t="shared" si="30"/>
        <v>43.830899460279916</v>
      </c>
      <c r="N38" s="53">
        <f t="shared" si="30"/>
        <v>43.096690115722673</v>
      </c>
      <c r="O38" s="53">
        <f t="shared" si="30"/>
        <v>42.628694794822955</v>
      </c>
      <c r="P38" s="53">
        <f t="shared" si="30"/>
        <v>41.185559789274699</v>
      </c>
      <c r="Q38" s="53">
        <f t="shared" si="30"/>
        <v>40.978538055942884</v>
      </c>
      <c r="R38" s="53">
        <f t="shared" si="30"/>
        <v>40.372570640277438</v>
      </c>
      <c r="S38" s="53">
        <f t="shared" si="30"/>
        <v>39.766603224611991</v>
      </c>
      <c r="T38" s="53">
        <f t="shared" si="30"/>
        <v>38.303804989738595</v>
      </c>
      <c r="U38" s="53">
        <f t="shared" si="30"/>
        <v>37.264159977851016</v>
      </c>
      <c r="V38" s="53">
        <f t="shared" si="30"/>
        <v>37.589899831631492</v>
      </c>
      <c r="W38" s="53">
        <f t="shared" si="30"/>
        <v>39.137612870197522</v>
      </c>
      <c r="X38" s="53">
        <f t="shared" si="30"/>
        <v>37.568627123560638</v>
      </c>
      <c r="Y38" s="53">
        <f t="shared" si="30"/>
        <v>36.64858664547738</v>
      </c>
      <c r="Z38" s="53">
        <f t="shared" si="30"/>
        <v>36.486585401011709</v>
      </c>
      <c r="AA38" s="53">
        <f t="shared" si="30"/>
        <v>36.920340159367043</v>
      </c>
      <c r="AB38" s="53">
        <f t="shared" si="30"/>
        <v>36.313714043654166</v>
      </c>
      <c r="AC38" s="53">
        <f t="shared" si="30"/>
        <v>37.700127027418155</v>
      </c>
      <c r="AD38" s="53">
        <f t="shared" si="30"/>
        <v>36.632229305279076</v>
      </c>
      <c r="AE38" s="53">
        <f t="shared" si="30"/>
        <v>36.237712013558202</v>
      </c>
      <c r="AF38" s="53">
        <f t="shared" si="30"/>
        <v>36.348403334099906</v>
      </c>
      <c r="AG38" s="53">
        <f t="shared" si="30"/>
        <v>36.368187723563658</v>
      </c>
      <c r="AH38" s="53">
        <f t="shared" si="30"/>
        <v>36.414495335725327</v>
      </c>
      <c r="AI38" s="53">
        <f t="shared" si="30"/>
        <v>36.724372363250808</v>
      </c>
      <c r="AJ38" s="53">
        <f t="shared" si="30"/>
        <v>35.687260653522458</v>
      </c>
      <c r="AK38" s="53">
        <f t="shared" si="30"/>
        <v>36.299425027790171</v>
      </c>
      <c r="AL38" s="53">
        <f t="shared" si="30"/>
        <v>36.670873465474635</v>
      </c>
      <c r="AM38" s="53">
        <f t="shared" si="30"/>
        <v>36.588124990685635</v>
      </c>
      <c r="AN38" s="53">
        <f t="shared" si="30"/>
        <v>34.733333333333334</v>
      </c>
      <c r="AO38" s="53">
        <f t="shared" si="30"/>
        <v>36.054881880000003</v>
      </c>
      <c r="AP38" s="53">
        <f t="shared" si="30"/>
        <v>44.805990901401422</v>
      </c>
      <c r="AQ38" s="53">
        <f t="shared" si="30"/>
        <v>35.353911743329277</v>
      </c>
      <c r="AR38" s="53">
        <f t="shared" si="30"/>
        <v>35.30049732366296</v>
      </c>
      <c r="AS38" s="53">
        <f t="shared" si="30"/>
        <v>35.947756635145289</v>
      </c>
      <c r="AT38" s="53">
        <f t="shared" si="30"/>
        <v>35.360414607676205</v>
      </c>
      <c r="AU38" s="53">
        <f t="shared" si="30"/>
        <v>36.318278941310403</v>
      </c>
      <c r="AV38" s="53">
        <f t="shared" si="30"/>
        <v>34.633006782223148</v>
      </c>
      <c r="AW38" s="53">
        <f t="shared" si="30"/>
        <v>35.607854514045826</v>
      </c>
      <c r="AX38" s="53">
        <f t="shared" si="30"/>
        <v>35.019721157551608</v>
      </c>
      <c r="AY38" s="53">
        <f t="shared" si="30"/>
        <v>34.725654479304502</v>
      </c>
      <c r="AZ38" s="53">
        <f t="shared" si="30"/>
        <v>34.578621140180957</v>
      </c>
      <c r="BA38" s="53">
        <f t="shared" si="30"/>
        <v>34.431587801057397</v>
      </c>
      <c r="BB38" s="53">
        <f t="shared" si="30"/>
        <v>34.977171337221229</v>
      </c>
      <c r="BC38" s="53">
        <f t="shared" si="30"/>
        <v>35.499070542807267</v>
      </c>
      <c r="BD38" s="53">
        <f t="shared" si="30"/>
        <v>35.441067288340328</v>
      </c>
      <c r="BE38" s="53">
        <f t="shared" si="30"/>
        <v>36.016411456744642</v>
      </c>
      <c r="BF38" s="53">
        <f t="shared" si="30"/>
        <v>36.497692111315665</v>
      </c>
      <c r="BG38" s="53">
        <f t="shared" si="30"/>
        <v>36.319552621124508</v>
      </c>
      <c r="BH38" s="53">
        <f t="shared" si="30"/>
        <v>35.092570500007717</v>
      </c>
      <c r="BI38" s="53">
        <f t="shared" si="30"/>
        <v>36.398207022091555</v>
      </c>
      <c r="BJ38" s="53">
        <f t="shared" si="30"/>
        <v>36.454226556460121</v>
      </c>
      <c r="BK38" s="53">
        <f t="shared" si="30"/>
        <v>36.618330049713656</v>
      </c>
      <c r="BL38" s="53">
        <f t="shared" si="30"/>
        <v>36.986015214583929</v>
      </c>
      <c r="BM38" s="53">
        <f t="shared" si="30"/>
        <v>36.192752425349028</v>
      </c>
      <c r="BN38" s="53">
        <f t="shared" ref="BN38:CH38" si="31">+AVERAGE(BN39:BN41)</f>
        <v>37.081329462483502</v>
      </c>
      <c r="BO38" s="53">
        <f t="shared" si="31"/>
        <v>37.542077356291252</v>
      </c>
      <c r="BP38" s="53">
        <f t="shared" si="31"/>
        <v>37.889779330582606</v>
      </c>
      <c r="BQ38" s="53">
        <f t="shared" si="31"/>
        <v>29.512142668337699</v>
      </c>
      <c r="BR38" s="53">
        <f t="shared" si="31"/>
        <v>32.314311775912834</v>
      </c>
      <c r="BS38" s="53">
        <f t="shared" si="31"/>
        <v>35.494495936943515</v>
      </c>
      <c r="BT38" s="53">
        <f t="shared" si="31"/>
        <v>36.998438813100101</v>
      </c>
      <c r="BU38" s="53">
        <f t="shared" si="31"/>
        <v>35.474807251579477</v>
      </c>
      <c r="BV38" s="53">
        <f t="shared" si="31"/>
        <v>36.744532851898775</v>
      </c>
      <c r="BW38" s="53">
        <f t="shared" si="31"/>
        <v>36.898260191777396</v>
      </c>
      <c r="BX38" s="53">
        <f t="shared" si="31"/>
        <v>38.265192210177716</v>
      </c>
      <c r="BY38" s="53">
        <f t="shared" si="31"/>
        <v>39.638470469114075</v>
      </c>
      <c r="BZ38" s="53">
        <f t="shared" si="31"/>
        <v>39.324076275670848</v>
      </c>
      <c r="CA38" s="53">
        <f t="shared" si="31"/>
        <v>38.516334214664191</v>
      </c>
      <c r="CB38" s="53">
        <f t="shared" si="31"/>
        <v>39.010173188579635</v>
      </c>
      <c r="CC38" s="53">
        <f t="shared" si="31"/>
        <v>39.294911433732835</v>
      </c>
      <c r="CD38" s="53">
        <f t="shared" si="31"/>
        <v>38.261612967218177</v>
      </c>
      <c r="CE38" s="53">
        <f t="shared" si="31"/>
        <v>37.845272865631962</v>
      </c>
      <c r="CF38" s="53">
        <f t="shared" si="31"/>
        <v>37.917546092368639</v>
      </c>
      <c r="CG38" s="53">
        <f t="shared" si="31"/>
        <v>39.220693205875826</v>
      </c>
      <c r="CH38" s="53">
        <f t="shared" si="31"/>
        <v>38.838870248942392</v>
      </c>
      <c r="CI38" s="53">
        <f>+AVERAGE(CI39:CI41)</f>
        <v>38.287345785629121</v>
      </c>
      <c r="CJ38" s="54">
        <f>+AVERAGE(CJ39:CJ41)</f>
        <v>38.5</v>
      </c>
    </row>
    <row r="39" spans="1:88" s="21" customFormat="1" ht="18" customHeight="1" x14ac:dyDescent="0.25">
      <c r="A39" s="26" t="s">
        <v>134</v>
      </c>
      <c r="B39" s="40">
        <v>79.649126340701955</v>
      </c>
      <c r="C39" s="40">
        <v>81.749942001517795</v>
      </c>
      <c r="D39" s="40">
        <v>80.284687584852207</v>
      </c>
      <c r="E39" s="40">
        <v>80.010897101247565</v>
      </c>
      <c r="F39" s="40">
        <v>81.766321792322501</v>
      </c>
      <c r="G39" s="40">
        <v>82.310590015408437</v>
      </c>
      <c r="H39" s="40">
        <v>79.850094094287769</v>
      </c>
      <c r="I39" s="40">
        <v>79.958841980053748</v>
      </c>
      <c r="J39" s="40">
        <v>80.087913233865308</v>
      </c>
      <c r="K39" s="40">
        <v>82.011020084963292</v>
      </c>
      <c r="L39" s="7">
        <v>80.58040124114369</v>
      </c>
      <c r="M39" s="7">
        <v>78.407476291084691</v>
      </c>
      <c r="N39" s="7">
        <v>78.691727643210413</v>
      </c>
      <c r="O39" s="7">
        <v>79.880711845963873</v>
      </c>
      <c r="P39" s="7">
        <v>77.547536545798195</v>
      </c>
      <c r="Q39" s="7">
        <v>76.894092633343433</v>
      </c>
      <c r="R39" s="51">
        <f t="shared" ref="R39:R41" si="32">+(Q39+S39)/2</f>
        <v>76.244580532058563</v>
      </c>
      <c r="S39" s="7">
        <v>75.595068430773679</v>
      </c>
      <c r="T39" s="7">
        <v>73.269375921575431</v>
      </c>
      <c r="U39" s="7">
        <v>73.421652541443322</v>
      </c>
      <c r="V39" s="7">
        <v>74.256765292054681</v>
      </c>
      <c r="W39" s="7">
        <v>75.399286359874679</v>
      </c>
      <c r="X39" s="7">
        <v>72.98764429849129</v>
      </c>
      <c r="Y39" s="7">
        <v>73.860740281178337</v>
      </c>
      <c r="Z39" s="7">
        <v>71.004687300294151</v>
      </c>
      <c r="AA39" s="7">
        <v>71.692535043814942</v>
      </c>
      <c r="AB39" s="7">
        <v>71.146793308670354</v>
      </c>
      <c r="AC39" s="7">
        <v>72.514626557473775</v>
      </c>
      <c r="AD39" s="7">
        <v>71.753241007967176</v>
      </c>
      <c r="AE39" s="7">
        <v>71.011992507679352</v>
      </c>
      <c r="AF39" s="7">
        <v>71.637677456697062</v>
      </c>
      <c r="AG39" s="7">
        <v>72.278736235940812</v>
      </c>
      <c r="AH39" s="7">
        <v>71.255762619159242</v>
      </c>
      <c r="AI39" s="7">
        <v>70.239721717668104</v>
      </c>
      <c r="AJ39" s="7">
        <v>69.215984873886953</v>
      </c>
      <c r="AK39" s="7">
        <v>73.258422806200841</v>
      </c>
      <c r="AL39" s="7">
        <v>73.876007678667264</v>
      </c>
      <c r="AM39" s="7">
        <v>72.587589144793895</v>
      </c>
      <c r="AN39" s="7">
        <v>68.599999999999994</v>
      </c>
      <c r="AO39" s="7">
        <v>71.376661499999997</v>
      </c>
      <c r="AP39" s="7">
        <v>34.390859851517327</v>
      </c>
      <c r="AQ39" s="7">
        <v>69.307438697979066</v>
      </c>
      <c r="AR39" s="7">
        <v>70.512591928953512</v>
      </c>
      <c r="AS39" s="7">
        <v>71.194016263884649</v>
      </c>
      <c r="AT39" s="7">
        <v>69.597930800969223</v>
      </c>
      <c r="AU39" s="7">
        <v>69.552009351137769</v>
      </c>
      <c r="AV39" s="7">
        <v>69.427070707797554</v>
      </c>
      <c r="AW39" s="7">
        <v>71.330522827738037</v>
      </c>
      <c r="AX39" s="51">
        <f t="shared" ref="AX39:AX41" si="33">+(AW39+BA39)/2</f>
        <v>70.341539089161799</v>
      </c>
      <c r="AY39" s="51">
        <f t="shared" ref="AY39:AY41" si="34">+(AX39+BA39)/2</f>
        <v>69.847047219873673</v>
      </c>
      <c r="AZ39" s="51">
        <f t="shared" ref="AZ39:AZ41" si="35">+(AY39+BA39)/2</f>
        <v>69.599801285229617</v>
      </c>
      <c r="BA39" s="28">
        <v>69.352555350585561</v>
      </c>
      <c r="BB39" s="7">
        <v>69.901466991649812</v>
      </c>
      <c r="BC39" s="7">
        <v>69.932874148915047</v>
      </c>
      <c r="BD39" s="7">
        <v>70.63291317860633</v>
      </c>
      <c r="BE39" s="7">
        <v>71.753051779521016</v>
      </c>
      <c r="BF39" s="7">
        <v>72.172060981575086</v>
      </c>
      <c r="BG39" s="7">
        <v>71.642437708366074</v>
      </c>
      <c r="BH39" s="7">
        <v>68.211381806846845</v>
      </c>
      <c r="BI39" s="7">
        <v>70.961738553484082</v>
      </c>
      <c r="BJ39" s="7">
        <v>71.637615847965435</v>
      </c>
      <c r="BK39" s="40">
        <v>71.864158742105744</v>
      </c>
      <c r="BL39" s="7">
        <v>71.024995797799576</v>
      </c>
      <c r="BM39" s="7">
        <v>71.647330114578082</v>
      </c>
      <c r="BN39" s="7">
        <v>70.870804938320063</v>
      </c>
      <c r="BO39" s="7">
        <v>72.45587226807595</v>
      </c>
      <c r="BP39" s="7">
        <v>71.889485559292339</v>
      </c>
      <c r="BQ39" s="7">
        <v>60.811554144147408</v>
      </c>
      <c r="BR39" s="7">
        <v>65.75000482097002</v>
      </c>
      <c r="BS39" s="7">
        <v>70.273129290649038</v>
      </c>
      <c r="BT39" s="7">
        <v>73.495610082549149</v>
      </c>
      <c r="BU39" s="7">
        <v>70.857774027678062</v>
      </c>
      <c r="BV39" s="7">
        <v>72.538093567537729</v>
      </c>
      <c r="BW39" s="7">
        <v>72.058301198595743</v>
      </c>
      <c r="BX39" s="40">
        <v>72.236311824662266</v>
      </c>
      <c r="BY39" s="7">
        <v>74.21309233558992</v>
      </c>
      <c r="BZ39" s="7">
        <v>75.663599211283369</v>
      </c>
      <c r="CA39" s="7">
        <v>74.260447593378984</v>
      </c>
      <c r="CB39" s="7">
        <v>73.790208725281488</v>
      </c>
      <c r="CC39" s="7">
        <v>74.222370517206343</v>
      </c>
      <c r="CD39" s="7">
        <v>74.12495751653347</v>
      </c>
      <c r="CE39" s="7">
        <v>72.388266385547382</v>
      </c>
      <c r="CF39" s="7">
        <v>72.597116568216677</v>
      </c>
      <c r="CG39" s="7">
        <v>75.000607691095325</v>
      </c>
      <c r="CH39" s="7">
        <v>76.068767205808641</v>
      </c>
      <c r="CI39" s="7">
        <v>73.13584604979107</v>
      </c>
      <c r="CJ39" s="40">
        <v>72.3</v>
      </c>
    </row>
    <row r="40" spans="1:88" s="21" customFormat="1" ht="18" customHeight="1" x14ac:dyDescent="0.25">
      <c r="A40" s="26" t="s">
        <v>135</v>
      </c>
      <c r="B40" s="40">
        <v>47.935976564503129</v>
      </c>
      <c r="C40" s="40">
        <v>44.763178952411529</v>
      </c>
      <c r="D40" s="40">
        <v>46.229756665024233</v>
      </c>
      <c r="E40" s="40">
        <v>43.769109256422922</v>
      </c>
      <c r="F40" s="40">
        <v>43.88439467572671</v>
      </c>
      <c r="G40" s="40">
        <v>44.760994437920452</v>
      </c>
      <c r="H40" s="40">
        <v>42.470925414844388</v>
      </c>
      <c r="I40" s="40">
        <v>44.218178551418106</v>
      </c>
      <c r="J40" s="40">
        <v>41.236526195198721</v>
      </c>
      <c r="K40" s="40">
        <v>40.783935813984328</v>
      </c>
      <c r="L40" s="7">
        <v>39.514834959605132</v>
      </c>
      <c r="M40" s="7">
        <v>39.71398859608135</v>
      </c>
      <c r="N40" s="7">
        <v>37.833039435544499</v>
      </c>
      <c r="O40" s="7">
        <v>34.904957129571599</v>
      </c>
      <c r="P40" s="7">
        <v>34.039192898472528</v>
      </c>
      <c r="Q40" s="7">
        <v>33.930839027724765</v>
      </c>
      <c r="R40" s="51">
        <f t="shared" si="32"/>
        <v>33.488286201544227</v>
      </c>
      <c r="S40" s="7">
        <v>33.045733375363689</v>
      </c>
      <c r="T40" s="7">
        <v>30.736007308897072</v>
      </c>
      <c r="U40" s="7">
        <v>28.012587413193806</v>
      </c>
      <c r="V40" s="7">
        <v>28.241494295119544</v>
      </c>
      <c r="W40" s="7">
        <v>32.722860484425937</v>
      </c>
      <c r="X40" s="7">
        <v>29.633576898829023</v>
      </c>
      <c r="Y40" s="7">
        <v>26.189307188126321</v>
      </c>
      <c r="Z40" s="7">
        <v>29.263800017063389</v>
      </c>
      <c r="AA40" s="7">
        <v>29.378644179151003</v>
      </c>
      <c r="AB40" s="7">
        <v>27.924510719151307</v>
      </c>
      <c r="AC40" s="7">
        <v>29.930382156636814</v>
      </c>
      <c r="AD40" s="7">
        <v>28.441239371429162</v>
      </c>
      <c r="AE40" s="7">
        <v>28.488954955577832</v>
      </c>
      <c r="AF40" s="7">
        <v>29.427432866946795</v>
      </c>
      <c r="AG40" s="7">
        <v>27.063995657447638</v>
      </c>
      <c r="AH40" s="7">
        <v>28.884919552340367</v>
      </c>
      <c r="AI40" s="7">
        <v>30.172341214044433</v>
      </c>
      <c r="AJ40" s="7">
        <v>28.03948518803675</v>
      </c>
      <c r="AK40" s="7">
        <v>26.572502320171722</v>
      </c>
      <c r="AL40" s="7">
        <v>27.718343218820905</v>
      </c>
      <c r="AM40" s="7">
        <v>28.531200919034998</v>
      </c>
      <c r="AN40" s="7">
        <v>27.9</v>
      </c>
      <c r="AO40" s="7">
        <v>28.250696099999999</v>
      </c>
      <c r="AP40" s="7">
        <v>72.285948259116864</v>
      </c>
      <c r="AQ40" s="7">
        <v>27.303066173476665</v>
      </c>
      <c r="AR40" s="7">
        <v>27.030303021726272</v>
      </c>
      <c r="AS40" s="7">
        <v>27.855760286957626</v>
      </c>
      <c r="AT40" s="7">
        <v>27.315509538573025</v>
      </c>
      <c r="AU40" s="7">
        <v>30.294281455272166</v>
      </c>
      <c r="AV40" s="7">
        <v>27.558726190553291</v>
      </c>
      <c r="AW40" s="7">
        <v>27.233043766241433</v>
      </c>
      <c r="AX40" s="51">
        <f t="shared" si="33"/>
        <v>26.935257322956737</v>
      </c>
      <c r="AY40" s="51">
        <f t="shared" si="34"/>
        <v>26.78636410131439</v>
      </c>
      <c r="AZ40" s="51">
        <f t="shared" si="35"/>
        <v>26.711917490493217</v>
      </c>
      <c r="BA40" s="28">
        <v>26.637470879672044</v>
      </c>
      <c r="BB40" s="7">
        <v>27.420928984937316</v>
      </c>
      <c r="BC40" s="7">
        <v>28.300422120329255</v>
      </c>
      <c r="BD40" s="7">
        <v>27.996504326399297</v>
      </c>
      <c r="BE40" s="7">
        <v>27.868724918741609</v>
      </c>
      <c r="BF40" s="7">
        <v>28.50847547554168</v>
      </c>
      <c r="BG40" s="7">
        <v>29.050875803673783</v>
      </c>
      <c r="BH40" s="7">
        <v>28.465432121335926</v>
      </c>
      <c r="BI40" s="7">
        <v>27.905374572851443</v>
      </c>
      <c r="BJ40" s="7">
        <v>29.419276120279854</v>
      </c>
      <c r="BK40" s="40">
        <v>27.512515615823396</v>
      </c>
      <c r="BL40" s="7">
        <v>29.768163872403157</v>
      </c>
      <c r="BM40" s="7">
        <v>27.740656064873875</v>
      </c>
      <c r="BN40" s="7">
        <v>30.402291799227889</v>
      </c>
      <c r="BO40" s="7">
        <v>30.434432579712723</v>
      </c>
      <c r="BP40" s="7">
        <v>31.779202342764879</v>
      </c>
      <c r="BQ40" s="7">
        <v>21.135168205680525</v>
      </c>
      <c r="BR40" s="7">
        <v>22.973035632330745</v>
      </c>
      <c r="BS40" s="7">
        <v>27.282147289269759</v>
      </c>
      <c r="BT40" s="7">
        <v>28.911632691430807</v>
      </c>
      <c r="BU40" s="7">
        <v>27.54635753303209</v>
      </c>
      <c r="BV40" s="7">
        <v>29.185311225695308</v>
      </c>
      <c r="BW40" s="7">
        <v>29.624810203804113</v>
      </c>
      <c r="BX40" s="40">
        <v>32.323272971160293</v>
      </c>
      <c r="BY40" s="7">
        <v>33.465719832309553</v>
      </c>
      <c r="BZ40" s="7">
        <v>31.908374756323038</v>
      </c>
      <c r="CA40" s="7">
        <v>31.134418803482905</v>
      </c>
      <c r="CB40" s="7">
        <v>31.816248374500724</v>
      </c>
      <c r="CC40" s="7">
        <v>32.302058995327101</v>
      </c>
      <c r="CD40" s="7">
        <v>31.134455834772702</v>
      </c>
      <c r="CE40" s="7">
        <v>30.91290306297541</v>
      </c>
      <c r="CF40" s="7">
        <v>29.810620057897342</v>
      </c>
      <c r="CG40" s="7">
        <v>31.920851420526997</v>
      </c>
      <c r="CH40" s="7">
        <v>29.651900944765192</v>
      </c>
      <c r="CI40" s="7">
        <v>30.922373851028844</v>
      </c>
      <c r="CJ40" s="40">
        <v>31.2</v>
      </c>
    </row>
    <row r="41" spans="1:88" s="21" customFormat="1" ht="18" customHeight="1" thickBot="1" x14ac:dyDescent="0.3">
      <c r="A41" s="26" t="s">
        <v>136</v>
      </c>
      <c r="B41" s="40">
        <v>17.946771825036713</v>
      </c>
      <c r="C41" s="40">
        <v>18.508903311699118</v>
      </c>
      <c r="D41" s="40">
        <v>15.300951921894205</v>
      </c>
      <c r="E41" s="40">
        <v>15.33511690547539</v>
      </c>
      <c r="F41" s="40">
        <v>15.555009078075313</v>
      </c>
      <c r="G41" s="40">
        <v>15.797683304500751</v>
      </c>
      <c r="H41" s="40">
        <v>15.800151487459891</v>
      </c>
      <c r="I41" s="40">
        <v>14.843887752687046</v>
      </c>
      <c r="J41" s="40">
        <v>15.825727678024226</v>
      </c>
      <c r="K41" s="40">
        <v>13.833045949637793</v>
      </c>
      <c r="L41" s="7">
        <v>13.619967615498519</v>
      </c>
      <c r="M41" s="7">
        <v>13.371233493673726</v>
      </c>
      <c r="N41" s="7">
        <v>12.76530326841312</v>
      </c>
      <c r="O41" s="7">
        <v>13.100415408933392</v>
      </c>
      <c r="P41" s="7">
        <v>11.969949923553353</v>
      </c>
      <c r="Q41" s="7">
        <v>12.11068250676044</v>
      </c>
      <c r="R41" s="51">
        <f t="shared" si="32"/>
        <v>11.384845187229523</v>
      </c>
      <c r="S41" s="7">
        <v>10.659007867698605</v>
      </c>
      <c r="T41" s="7">
        <v>10.906031738743275</v>
      </c>
      <c r="U41" s="7">
        <v>10.358239978915918</v>
      </c>
      <c r="V41" s="7">
        <v>10.271439907720248</v>
      </c>
      <c r="W41" s="7">
        <v>9.2906917662919426</v>
      </c>
      <c r="X41" s="7">
        <v>10.084660173361613</v>
      </c>
      <c r="Y41" s="7">
        <v>9.8957124671274812</v>
      </c>
      <c r="Z41" s="7">
        <v>9.191268885677589</v>
      </c>
      <c r="AA41" s="7">
        <v>9.6898412551351818</v>
      </c>
      <c r="AB41" s="7">
        <v>9.8698381031408342</v>
      </c>
      <c r="AC41" s="7">
        <v>10.655372368143869</v>
      </c>
      <c r="AD41" s="7">
        <v>9.7022075364408753</v>
      </c>
      <c r="AE41" s="7">
        <v>9.2121885774174341</v>
      </c>
      <c r="AF41" s="7">
        <v>7.9800996786558427</v>
      </c>
      <c r="AG41" s="7">
        <v>9.7618312773025195</v>
      </c>
      <c r="AH41" s="7">
        <v>9.1028038356763741</v>
      </c>
      <c r="AI41" s="7">
        <v>9.7610541580398831</v>
      </c>
      <c r="AJ41" s="7">
        <v>9.8063118986436635</v>
      </c>
      <c r="AK41" s="7">
        <v>9.067349956997953</v>
      </c>
      <c r="AL41" s="7">
        <v>8.4182694989357287</v>
      </c>
      <c r="AM41" s="7">
        <v>8.6455849082280096</v>
      </c>
      <c r="AN41" s="7">
        <v>7.7</v>
      </c>
      <c r="AO41" s="7">
        <v>8.53728804</v>
      </c>
      <c r="AP41" s="7">
        <v>27.741164593570055</v>
      </c>
      <c r="AQ41" s="7">
        <v>9.4512303585320954</v>
      </c>
      <c r="AR41" s="7">
        <v>8.3585970203090962</v>
      </c>
      <c r="AS41" s="7">
        <v>8.7934933545935881</v>
      </c>
      <c r="AT41" s="7">
        <v>9.1678034834863631</v>
      </c>
      <c r="AU41" s="7">
        <v>9.1085460175212649</v>
      </c>
      <c r="AV41" s="7">
        <v>6.9132234483185977</v>
      </c>
      <c r="AW41" s="7">
        <v>8.2599969481580011</v>
      </c>
      <c r="AX41" s="51">
        <f t="shared" si="33"/>
        <v>7.782367060536302</v>
      </c>
      <c r="AY41" s="51">
        <f t="shared" si="34"/>
        <v>7.5435521167254524</v>
      </c>
      <c r="AZ41" s="51">
        <f t="shared" si="35"/>
        <v>7.4241446448200268</v>
      </c>
      <c r="BA41" s="28">
        <v>7.304737172914602</v>
      </c>
      <c r="BB41" s="7">
        <v>7.6091180350765564</v>
      </c>
      <c r="BC41" s="7">
        <v>8.2639153591774921</v>
      </c>
      <c r="BD41" s="7">
        <v>7.693784360015357</v>
      </c>
      <c r="BE41" s="7">
        <v>8.4274576719713092</v>
      </c>
      <c r="BF41" s="7">
        <v>8.8125398768302254</v>
      </c>
      <c r="BG41" s="7">
        <v>8.2653443513336722</v>
      </c>
      <c r="BH41" s="7">
        <v>8.6008975718403828</v>
      </c>
      <c r="BI41" s="7">
        <v>10.327507939939142</v>
      </c>
      <c r="BJ41" s="7">
        <v>8.3057877011350882</v>
      </c>
      <c r="BK41" s="40">
        <v>10.478315791211831</v>
      </c>
      <c r="BL41" s="7">
        <v>10.164885973549056</v>
      </c>
      <c r="BM41" s="7">
        <v>9.1902710965951186</v>
      </c>
      <c r="BN41" s="7">
        <v>9.9708916499025548</v>
      </c>
      <c r="BO41" s="7">
        <v>9.7359272210850811</v>
      </c>
      <c r="BP41" s="7">
        <v>10.000650089690604</v>
      </c>
      <c r="BQ41" s="7">
        <v>6.5897056551851545</v>
      </c>
      <c r="BR41" s="7">
        <v>8.2198948744377436</v>
      </c>
      <c r="BS41" s="7">
        <v>8.9282112309117387</v>
      </c>
      <c r="BT41" s="7">
        <v>8.5880736653203318</v>
      </c>
      <c r="BU41" s="7">
        <v>8.0202901940282754</v>
      </c>
      <c r="BV41" s="7">
        <v>8.5101937624632669</v>
      </c>
      <c r="BW41" s="7">
        <v>9.0116691729323311</v>
      </c>
      <c r="BX41" s="40">
        <v>10.235991834710589</v>
      </c>
      <c r="BY41" s="7">
        <v>11.236599239442732</v>
      </c>
      <c r="BZ41" s="7">
        <v>10.400254859406134</v>
      </c>
      <c r="CA41" s="7">
        <v>10.15413624713068</v>
      </c>
      <c r="CB41" s="7">
        <v>11.424062465956702</v>
      </c>
      <c r="CC41" s="7">
        <v>11.360304788665061</v>
      </c>
      <c r="CD41" s="7">
        <v>9.5254255503483733</v>
      </c>
      <c r="CE41" s="7">
        <v>10.234649148373107</v>
      </c>
      <c r="CF41" s="7">
        <v>11.344901650991904</v>
      </c>
      <c r="CG41" s="7">
        <v>10.740620506005145</v>
      </c>
      <c r="CH41" s="7">
        <v>10.79594259625336</v>
      </c>
      <c r="CI41" s="7">
        <v>10.803817456067454</v>
      </c>
      <c r="CJ41" s="40">
        <v>12</v>
      </c>
    </row>
    <row r="42" spans="1:88" s="21" customFormat="1" ht="30" customHeight="1" thickBot="1" x14ac:dyDescent="0.3">
      <c r="A42" s="52" t="s">
        <v>137</v>
      </c>
      <c r="B42" s="53">
        <f t="shared" ref="B42:BM42" si="36">+AVERAGE(B43:B46)</f>
        <v>40.111564895110448</v>
      </c>
      <c r="C42" s="53">
        <f t="shared" si="36"/>
        <v>41.234609258930334</v>
      </c>
      <c r="D42" s="53">
        <f t="shared" si="36"/>
        <v>40.353322210759984</v>
      </c>
      <c r="E42" s="53">
        <f t="shared" si="36"/>
        <v>40.256683935570713</v>
      </c>
      <c r="F42" s="53">
        <f t="shared" si="36"/>
        <v>39.800421376499784</v>
      </c>
      <c r="G42" s="53">
        <f t="shared" si="36"/>
        <v>40.863319049533061</v>
      </c>
      <c r="H42" s="53">
        <f t="shared" si="36"/>
        <v>39.192204361580792</v>
      </c>
      <c r="I42" s="53">
        <f t="shared" si="36"/>
        <v>39.556294289949093</v>
      </c>
      <c r="J42" s="53">
        <f t="shared" si="36"/>
        <v>39.597080535742691</v>
      </c>
      <c r="K42" s="53">
        <f t="shared" si="36"/>
        <v>38.122637073063601</v>
      </c>
      <c r="L42" s="53">
        <f t="shared" si="36"/>
        <v>37.164006156219436</v>
      </c>
      <c r="M42" s="53">
        <f t="shared" si="36"/>
        <v>37.56878122601249</v>
      </c>
      <c r="N42" s="53">
        <f t="shared" si="36"/>
        <v>36.40454560192331</v>
      </c>
      <c r="O42" s="53">
        <f t="shared" si="36"/>
        <v>37.319266469499752</v>
      </c>
      <c r="P42" s="53">
        <f t="shared" si="36"/>
        <v>35.754102052588578</v>
      </c>
      <c r="Q42" s="53">
        <f t="shared" si="36"/>
        <v>34.941492423749963</v>
      </c>
      <c r="R42" s="53">
        <f t="shared" si="36"/>
        <v>34.710651930271609</v>
      </c>
      <c r="S42" s="53">
        <f t="shared" si="36"/>
        <v>34.47981143679327</v>
      </c>
      <c r="T42" s="53">
        <f t="shared" si="36"/>
        <v>32.398499203019838</v>
      </c>
      <c r="U42" s="53">
        <f t="shared" si="36"/>
        <v>30.843251324732133</v>
      </c>
      <c r="V42" s="53">
        <f t="shared" si="36"/>
        <v>31.404742622742969</v>
      </c>
      <c r="W42" s="53">
        <f t="shared" si="36"/>
        <v>32.604775248054146</v>
      </c>
      <c r="X42" s="53">
        <f t="shared" si="36"/>
        <v>31.012114030726856</v>
      </c>
      <c r="Y42" s="53">
        <f t="shared" si="36"/>
        <v>30.82537051912265</v>
      </c>
      <c r="Z42" s="53">
        <f t="shared" si="36"/>
        <v>31.347584826826626</v>
      </c>
      <c r="AA42" s="53">
        <f t="shared" si="36"/>
        <v>30.666561344250805</v>
      </c>
      <c r="AB42" s="53">
        <f t="shared" si="36"/>
        <v>30.348843202099381</v>
      </c>
      <c r="AC42" s="53">
        <f t="shared" si="36"/>
        <v>31.584142892879832</v>
      </c>
      <c r="AD42" s="53">
        <f t="shared" si="36"/>
        <v>30.666777725644138</v>
      </c>
      <c r="AE42" s="53">
        <f t="shared" si="36"/>
        <v>30.104802283698472</v>
      </c>
      <c r="AF42" s="53">
        <f t="shared" si="36"/>
        <v>29.642478136403049</v>
      </c>
      <c r="AG42" s="53">
        <f t="shared" si="36"/>
        <v>30.492553216090187</v>
      </c>
      <c r="AH42" s="53">
        <f t="shared" si="36"/>
        <v>30.106841578860781</v>
      </c>
      <c r="AI42" s="53">
        <f t="shared" si="36"/>
        <v>30.503685443252905</v>
      </c>
      <c r="AJ42" s="53">
        <f t="shared" si="36"/>
        <v>29.338909257284371</v>
      </c>
      <c r="AK42" s="53">
        <f t="shared" si="36"/>
        <v>29.871516600751633</v>
      </c>
      <c r="AL42" s="53">
        <f t="shared" si="36"/>
        <v>30.42863861610876</v>
      </c>
      <c r="AM42" s="53">
        <f t="shared" si="36"/>
        <v>30.254690993167774</v>
      </c>
      <c r="AN42" s="53">
        <f t="shared" si="36"/>
        <v>28.175000000000001</v>
      </c>
      <c r="AO42" s="53">
        <f t="shared" si="36"/>
        <v>30.174423099999998</v>
      </c>
      <c r="AP42" s="53">
        <f t="shared" si="36"/>
        <v>30.61689018481939</v>
      </c>
      <c r="AQ42" s="53">
        <f t="shared" si="36"/>
        <v>28.558193334492582</v>
      </c>
      <c r="AR42" s="53">
        <f t="shared" si="36"/>
        <v>29.206124698727095</v>
      </c>
      <c r="AS42" s="53">
        <f t="shared" si="36"/>
        <v>29.377941460752865</v>
      </c>
      <c r="AT42" s="53">
        <f t="shared" si="36"/>
        <v>29.204395468307268</v>
      </c>
      <c r="AU42" s="53">
        <f t="shared" si="36"/>
        <v>29.995690718973293</v>
      </c>
      <c r="AV42" s="53">
        <f t="shared" si="36"/>
        <v>27.995704516468955</v>
      </c>
      <c r="AW42" s="53">
        <f t="shared" si="36"/>
        <v>28.45565077798075</v>
      </c>
      <c r="AX42" s="53">
        <f t="shared" si="36"/>
        <v>28.233403341172341</v>
      </c>
      <c r="AY42" s="53">
        <f t="shared" si="36"/>
        <v>28.12227962276814</v>
      </c>
      <c r="AZ42" s="53">
        <f t="shared" si="36"/>
        <v>28.066717763566036</v>
      </c>
      <c r="BA42" s="53">
        <f t="shared" si="36"/>
        <v>28.011155904363932</v>
      </c>
      <c r="BB42" s="53">
        <f t="shared" si="36"/>
        <v>29.136198779534247</v>
      </c>
      <c r="BC42" s="53">
        <f t="shared" si="36"/>
        <v>29.84478493220346</v>
      </c>
      <c r="BD42" s="53">
        <f t="shared" si="36"/>
        <v>28.37493316480225</v>
      </c>
      <c r="BE42" s="53">
        <f t="shared" si="36"/>
        <v>29.633676918200749</v>
      </c>
      <c r="BF42" s="53">
        <f t="shared" si="36"/>
        <v>30.053557090001704</v>
      </c>
      <c r="BG42" s="53">
        <f t="shared" si="36"/>
        <v>30.275733959355311</v>
      </c>
      <c r="BH42" s="53">
        <f t="shared" si="36"/>
        <v>29.565149823672293</v>
      </c>
      <c r="BI42" s="53">
        <f t="shared" si="36"/>
        <v>30.93302170410627</v>
      </c>
      <c r="BJ42" s="53">
        <f t="shared" si="36"/>
        <v>29.856942358069031</v>
      </c>
      <c r="BK42" s="53">
        <f t="shared" si="36"/>
        <v>31.388669194204102</v>
      </c>
      <c r="BL42" s="53">
        <f t="shared" si="36"/>
        <v>30.958556123518427</v>
      </c>
      <c r="BM42" s="53">
        <f t="shared" si="36"/>
        <v>30.720771707698361</v>
      </c>
      <c r="BN42" s="53">
        <f t="shared" ref="BN42:CH42" si="37">+AVERAGE(BN43:BN46)</f>
        <v>31.130348949996321</v>
      </c>
      <c r="BO42" s="53">
        <f t="shared" si="37"/>
        <v>31.886198150249569</v>
      </c>
      <c r="BP42" s="53">
        <f t="shared" si="37"/>
        <v>31.224192222379653</v>
      </c>
      <c r="BQ42" s="53">
        <f t="shared" si="37"/>
        <v>22.606521395184341</v>
      </c>
      <c r="BR42" s="53">
        <f t="shared" si="37"/>
        <v>25.980429381043731</v>
      </c>
      <c r="BS42" s="53">
        <f t="shared" si="37"/>
        <v>28.738295389729885</v>
      </c>
      <c r="BT42" s="53">
        <f t="shared" si="37"/>
        <v>29.791742217124092</v>
      </c>
      <c r="BU42" s="53">
        <f t="shared" si="37"/>
        <v>29.066354309351688</v>
      </c>
      <c r="BV42" s="53">
        <f t="shared" si="37"/>
        <v>30.885371810531453</v>
      </c>
      <c r="BW42" s="53">
        <f t="shared" si="37"/>
        <v>29.384183424756039</v>
      </c>
      <c r="BX42" s="53">
        <f t="shared" si="37"/>
        <v>31.740687627008498</v>
      </c>
      <c r="BY42" s="53">
        <f t="shared" si="37"/>
        <v>33.521953829392068</v>
      </c>
      <c r="BZ42" s="53">
        <f t="shared" si="37"/>
        <v>33.138192154973417</v>
      </c>
      <c r="CA42" s="53">
        <f t="shared" si="37"/>
        <v>31.637214160571432</v>
      </c>
      <c r="CB42" s="53">
        <f t="shared" si="37"/>
        <v>32.452613107943712</v>
      </c>
      <c r="CC42" s="53">
        <f t="shared" si="37"/>
        <v>32.984859211065626</v>
      </c>
      <c r="CD42" s="53">
        <f t="shared" si="37"/>
        <v>32.333522818852771</v>
      </c>
      <c r="CE42" s="53">
        <f t="shared" si="37"/>
        <v>32.415562175243068</v>
      </c>
      <c r="CF42" s="53">
        <f t="shared" si="37"/>
        <v>32.102724191956852</v>
      </c>
      <c r="CG42" s="53">
        <f t="shared" si="37"/>
        <v>32.521112803963149</v>
      </c>
      <c r="CH42" s="53">
        <f t="shared" si="37"/>
        <v>33.690172791105184</v>
      </c>
      <c r="CI42" s="53">
        <f>+AVERAGE(CI43:CI46)</f>
        <v>33.614135789243292</v>
      </c>
      <c r="CJ42" s="54">
        <f>+AVERAGE(CJ43:CJ46)</f>
        <v>32.6</v>
      </c>
    </row>
    <row r="43" spans="1:88" s="21" customFormat="1" ht="18" customHeight="1" x14ac:dyDescent="0.25">
      <c r="A43" s="26" t="s">
        <v>138</v>
      </c>
      <c r="B43" s="40">
        <v>21.911300662187067</v>
      </c>
      <c r="C43" s="40">
        <v>24.328954230700415</v>
      </c>
      <c r="D43" s="40">
        <v>24.162608072570933</v>
      </c>
      <c r="E43" s="40">
        <v>22.73500361000082</v>
      </c>
      <c r="F43" s="40">
        <v>23.070880815310719</v>
      </c>
      <c r="G43" s="40">
        <v>24.996378783192856</v>
      </c>
      <c r="H43" s="40">
        <v>22.586467706638981</v>
      </c>
      <c r="I43" s="40">
        <v>24.937224682586777</v>
      </c>
      <c r="J43" s="40">
        <v>25.010741287429923</v>
      </c>
      <c r="K43" s="40">
        <v>22.4226237919471</v>
      </c>
      <c r="L43" s="7">
        <v>22.209117002653809</v>
      </c>
      <c r="M43" s="7">
        <v>23.664338625939187</v>
      </c>
      <c r="N43" s="7">
        <v>21.987112220369905</v>
      </c>
      <c r="O43" s="7">
        <v>25.924056261640686</v>
      </c>
      <c r="P43" s="7">
        <v>23.758099732356669</v>
      </c>
      <c r="Q43" s="7">
        <v>20.711045771554584</v>
      </c>
      <c r="R43" s="51">
        <f t="shared" ref="R43:R46" si="38">+(Q43+S43)/2</f>
        <v>21.066303393029354</v>
      </c>
      <c r="S43" s="7">
        <v>21.421561014504125</v>
      </c>
      <c r="T43" s="7">
        <v>19.633258039951546</v>
      </c>
      <c r="U43" s="7">
        <v>17.110980172360108</v>
      </c>
      <c r="V43" s="7">
        <v>17.707321396607366</v>
      </c>
      <c r="W43" s="7">
        <v>17.713100885875154</v>
      </c>
      <c r="X43" s="7">
        <v>16.556354961351563</v>
      </c>
      <c r="Y43" s="7">
        <v>18.606003034126839</v>
      </c>
      <c r="Z43" s="7">
        <v>18.78454625286988</v>
      </c>
      <c r="AA43" s="7">
        <v>14.489083743683562</v>
      </c>
      <c r="AB43" s="7">
        <v>17.606472047935117</v>
      </c>
      <c r="AC43" s="7">
        <v>16.458681265480919</v>
      </c>
      <c r="AD43" s="7">
        <v>16.496628146907547</v>
      </c>
      <c r="AE43" s="7">
        <v>18.283629582488491</v>
      </c>
      <c r="AF43" s="7">
        <v>16.306439409735667</v>
      </c>
      <c r="AG43" s="7">
        <v>17.091939931631007</v>
      </c>
      <c r="AH43" s="7">
        <v>16.757825532474172</v>
      </c>
      <c r="AI43" s="7">
        <v>17.894902371133718</v>
      </c>
      <c r="AJ43" s="7">
        <v>15.761916775948254</v>
      </c>
      <c r="AK43" s="7">
        <v>16.079054449142671</v>
      </c>
      <c r="AL43" s="7">
        <v>15.661831880265725</v>
      </c>
      <c r="AM43" s="7">
        <v>15.496215501774127</v>
      </c>
      <c r="AN43" s="7">
        <v>15.1</v>
      </c>
      <c r="AO43" s="7">
        <v>18.055544900000001</v>
      </c>
      <c r="AP43" s="7">
        <v>18.272989583735061</v>
      </c>
      <c r="AQ43" s="7">
        <v>13.532422049080791</v>
      </c>
      <c r="AR43" s="7">
        <v>16.43642744569031</v>
      </c>
      <c r="AS43" s="7">
        <v>17.817364134773232</v>
      </c>
      <c r="AT43" s="7">
        <v>15.50989151645808</v>
      </c>
      <c r="AU43" s="7">
        <v>14.840865440833726</v>
      </c>
      <c r="AV43" s="7">
        <v>15.753350844205247</v>
      </c>
      <c r="AW43" s="7">
        <v>12.63263214801546</v>
      </c>
      <c r="AX43" s="51">
        <f t="shared" ref="AX43:AX46" si="39">+(AW43+BA43)/2</f>
        <v>12.508698280653572</v>
      </c>
      <c r="AY43" s="51">
        <f t="shared" ref="AY43:AY46" si="40">+(AX43+BA43)/2</f>
        <v>12.446731346972628</v>
      </c>
      <c r="AZ43" s="51">
        <f t="shared" ref="AZ43:AZ46" si="41">+(AY43+BA43)/2</f>
        <v>12.415747880132155</v>
      </c>
      <c r="BA43" s="28">
        <v>12.384764413291684</v>
      </c>
      <c r="BB43" s="7">
        <v>13.428712463557845</v>
      </c>
      <c r="BC43" s="7">
        <v>16.608872896343836</v>
      </c>
      <c r="BD43" s="7">
        <v>12.511502697719729</v>
      </c>
      <c r="BE43" s="7">
        <v>16.659238921579085</v>
      </c>
      <c r="BF43" s="7">
        <v>18.137889744922877</v>
      </c>
      <c r="BG43" s="7">
        <v>16.046517684697935</v>
      </c>
      <c r="BH43" s="7">
        <v>16.443265854933891</v>
      </c>
      <c r="BI43" s="7">
        <v>18.280437549282336</v>
      </c>
      <c r="BJ43" s="7">
        <v>16.040860031074157</v>
      </c>
      <c r="BK43" s="40">
        <v>17.770352818475423</v>
      </c>
      <c r="BL43" s="7">
        <v>17.418953136025902</v>
      </c>
      <c r="BM43" s="7">
        <v>16.242252409833259</v>
      </c>
      <c r="BN43" s="7">
        <v>18.014435620094403</v>
      </c>
      <c r="BO43" s="7">
        <v>15.910005178759686</v>
      </c>
      <c r="BP43" s="7">
        <v>17.183481372603421</v>
      </c>
      <c r="BQ43" s="7">
        <v>12.320873509833476</v>
      </c>
      <c r="BR43" s="7">
        <v>15.105185733236612</v>
      </c>
      <c r="BS43" s="7">
        <v>16.529045239821713</v>
      </c>
      <c r="BT43" s="7">
        <v>15.411947664819229</v>
      </c>
      <c r="BU43" s="7">
        <v>15.602726921383054</v>
      </c>
      <c r="BV43" s="7">
        <v>18.769482508021536</v>
      </c>
      <c r="BW43" s="7">
        <v>10.904858798128307</v>
      </c>
      <c r="BX43" s="40">
        <v>14.721615900002782</v>
      </c>
      <c r="BY43" s="7">
        <v>15.931302345298517</v>
      </c>
      <c r="BZ43" s="7">
        <v>18.309316483008402</v>
      </c>
      <c r="CA43" s="7">
        <v>16.25697011273569</v>
      </c>
      <c r="CB43" s="7">
        <v>16.104114969849707</v>
      </c>
      <c r="CC43" s="7">
        <v>17.429597690145592</v>
      </c>
      <c r="CD43" s="7">
        <v>18.519993459173786</v>
      </c>
      <c r="CE43" s="7">
        <v>16.597253215616018</v>
      </c>
      <c r="CF43" s="7">
        <v>17.134417219012434</v>
      </c>
      <c r="CG43" s="7">
        <v>16.360694442747786</v>
      </c>
      <c r="CH43" s="7">
        <v>17.12540970813173</v>
      </c>
      <c r="CI43" s="7">
        <v>19.37531810023841</v>
      </c>
      <c r="CJ43" s="40">
        <v>18</v>
      </c>
    </row>
    <row r="44" spans="1:88" s="21" customFormat="1" ht="18" customHeight="1" x14ac:dyDescent="0.25">
      <c r="A44" s="26" t="s">
        <v>139</v>
      </c>
      <c r="B44" s="40">
        <v>18.003642716695001</v>
      </c>
      <c r="C44" s="40">
        <v>20.879204872342015</v>
      </c>
      <c r="D44" s="40">
        <v>20.99602446361968</v>
      </c>
      <c r="E44" s="40">
        <v>22.168651445390282</v>
      </c>
      <c r="F44" s="40">
        <v>17.493962665812095</v>
      </c>
      <c r="G44" s="40">
        <v>19.433414108674196</v>
      </c>
      <c r="H44" s="40">
        <v>20.503059301023207</v>
      </c>
      <c r="I44" s="40">
        <v>19.671291368178032</v>
      </c>
      <c r="J44" s="40">
        <v>20.74675993488145</v>
      </c>
      <c r="K44" s="40">
        <v>17.029054194005905</v>
      </c>
      <c r="L44" s="7">
        <v>18.378262400721351</v>
      </c>
      <c r="M44" s="7">
        <v>19.117106562336037</v>
      </c>
      <c r="N44" s="7">
        <v>17.249828465048793</v>
      </c>
      <c r="O44" s="7">
        <v>17.486289262566288</v>
      </c>
      <c r="P44" s="7">
        <v>16.970291017912132</v>
      </c>
      <c r="Q44" s="7">
        <v>18.853339006967321</v>
      </c>
      <c r="R44" s="51">
        <f t="shared" si="38"/>
        <v>17.949020641074686</v>
      </c>
      <c r="S44" s="7">
        <v>17.04470227518205</v>
      </c>
      <c r="T44" s="7">
        <v>16.098441669369315</v>
      </c>
      <c r="U44" s="7">
        <v>13.682162023920366</v>
      </c>
      <c r="V44" s="7">
        <v>15.445029482377473</v>
      </c>
      <c r="W44" s="7">
        <v>16.442329667444554</v>
      </c>
      <c r="X44" s="7">
        <v>14.204241900739556</v>
      </c>
      <c r="Y44" s="7">
        <v>13.191220505968722</v>
      </c>
      <c r="Z44" s="7">
        <v>15.012307057043806</v>
      </c>
      <c r="AA44" s="7">
        <v>15.628541771644844</v>
      </c>
      <c r="AB44" s="7">
        <v>14.659923850554787</v>
      </c>
      <c r="AC44" s="7">
        <v>16.323510534637983</v>
      </c>
      <c r="AD44" s="7">
        <v>13.279349539265075</v>
      </c>
      <c r="AE44" s="7">
        <v>13.54619440606333</v>
      </c>
      <c r="AF44" s="7">
        <v>14.90210679773671</v>
      </c>
      <c r="AG44" s="7">
        <v>13.641226767614393</v>
      </c>
      <c r="AH44" s="7">
        <v>14.557615770725981</v>
      </c>
      <c r="AI44" s="7">
        <v>14.456472962624773</v>
      </c>
      <c r="AJ44" s="7">
        <v>13.884672060286629</v>
      </c>
      <c r="AK44" s="7">
        <v>13.996138207911699</v>
      </c>
      <c r="AL44" s="7">
        <v>28.413883498234338</v>
      </c>
      <c r="AM44" s="7">
        <v>15.832791104556168</v>
      </c>
      <c r="AN44" s="7">
        <v>13.6</v>
      </c>
      <c r="AO44" s="7">
        <v>14.0671412</v>
      </c>
      <c r="AP44" s="7">
        <v>14.321702654541962</v>
      </c>
      <c r="AQ44" s="7">
        <v>13.949770606452837</v>
      </c>
      <c r="AR44" s="7">
        <v>14.370735084518692</v>
      </c>
      <c r="AS44" s="7">
        <v>14.292549791071259</v>
      </c>
      <c r="AT44" s="7">
        <v>14.562670327427771</v>
      </c>
      <c r="AU44" s="7">
        <v>16.485002482983386</v>
      </c>
      <c r="AV44" s="7">
        <v>13.77239027272365</v>
      </c>
      <c r="AW44" s="7">
        <v>14.977786773029534</v>
      </c>
      <c r="AX44" s="51">
        <f t="shared" si="39"/>
        <v>14.020148597907902</v>
      </c>
      <c r="AY44" s="51">
        <f t="shared" si="40"/>
        <v>13.541329510347087</v>
      </c>
      <c r="AZ44" s="51">
        <f t="shared" si="41"/>
        <v>13.301919966566679</v>
      </c>
      <c r="BA44" s="28">
        <v>13.06251042278627</v>
      </c>
      <c r="BB44" s="7">
        <v>14.471972596660565</v>
      </c>
      <c r="BC44" s="7">
        <v>13.877761256793109</v>
      </c>
      <c r="BD44" s="7">
        <v>13.827417783091791</v>
      </c>
      <c r="BE44" s="7">
        <v>14.394657141702341</v>
      </c>
      <c r="BF44" s="7">
        <v>13.682714888449283</v>
      </c>
      <c r="BG44" s="7">
        <v>15.015069485327807</v>
      </c>
      <c r="BH44" s="7">
        <v>14.075073883637673</v>
      </c>
      <c r="BI44" s="7">
        <v>15.639795158250047</v>
      </c>
      <c r="BJ44" s="7">
        <v>13.776416117413707</v>
      </c>
      <c r="BK44" s="40">
        <v>15.36177818445999</v>
      </c>
      <c r="BL44" s="7">
        <v>14.920892927328081</v>
      </c>
      <c r="BM44" s="7">
        <v>16.057388401576763</v>
      </c>
      <c r="BN44" s="7">
        <v>15.155557634855604</v>
      </c>
      <c r="BO44" s="7">
        <v>16.150922242492488</v>
      </c>
      <c r="BP44" s="7">
        <v>15.335594910794548</v>
      </c>
      <c r="BQ44" s="7">
        <v>10.404899793783882</v>
      </c>
      <c r="BR44" s="7">
        <v>9.3744481361197494</v>
      </c>
      <c r="BS44" s="7">
        <v>11.036693383745343</v>
      </c>
      <c r="BT44" s="7">
        <v>13.406953551603321</v>
      </c>
      <c r="BU44" s="7">
        <v>14.060877369302233</v>
      </c>
      <c r="BV44" s="7">
        <v>13.140031719170162</v>
      </c>
      <c r="BW44" s="7">
        <v>13.55736451530332</v>
      </c>
      <c r="BX44" s="40">
        <v>13.54117319526986</v>
      </c>
      <c r="BY44" s="7">
        <v>16.734689449024504</v>
      </c>
      <c r="BZ44" s="7">
        <v>14.983053065416835</v>
      </c>
      <c r="CA44" s="7">
        <v>15.470797950681314</v>
      </c>
      <c r="CB44" s="7">
        <v>15.557859464212509</v>
      </c>
      <c r="CC44" s="7">
        <v>17.856317798781653</v>
      </c>
      <c r="CD44" s="7">
        <v>14.428937513283222</v>
      </c>
      <c r="CE44" s="7">
        <v>17.592025959754686</v>
      </c>
      <c r="CF44" s="7">
        <v>17.628025326942424</v>
      </c>
      <c r="CG44" s="7">
        <v>18.523148625768435</v>
      </c>
      <c r="CH44" s="7">
        <v>18.667504563545499</v>
      </c>
      <c r="CI44" s="7">
        <v>19.736727569993832</v>
      </c>
      <c r="CJ44" s="40">
        <v>17</v>
      </c>
    </row>
    <row r="45" spans="1:88" s="21" customFormat="1" ht="18" customHeight="1" x14ac:dyDescent="0.25">
      <c r="A45" s="26" t="s">
        <v>140</v>
      </c>
      <c r="B45" s="40">
        <v>46.122044776038038</v>
      </c>
      <c r="C45" s="40">
        <v>44.60154636834033</v>
      </c>
      <c r="D45" s="40">
        <v>43.286050156739812</v>
      </c>
      <c r="E45" s="40">
        <v>43.137359565735331</v>
      </c>
      <c r="F45" s="40">
        <v>43.213629691422888</v>
      </c>
      <c r="G45" s="40">
        <v>43.010632857100688</v>
      </c>
      <c r="H45" s="40">
        <v>39.848502895187501</v>
      </c>
      <c r="I45" s="40">
        <v>40.494584708503616</v>
      </c>
      <c r="J45" s="40">
        <v>40.26477498589248</v>
      </c>
      <c r="K45" s="40">
        <v>40.304737483490015</v>
      </c>
      <c r="L45" s="7">
        <v>37.319669392786864</v>
      </c>
      <c r="M45" s="7">
        <v>37.013638010447721</v>
      </c>
      <c r="N45" s="7">
        <v>35.810377616686928</v>
      </c>
      <c r="O45" s="7">
        <v>36.184211782347234</v>
      </c>
      <c r="P45" s="7">
        <v>34.601808752322469</v>
      </c>
      <c r="Q45" s="7">
        <v>34.361386508436233</v>
      </c>
      <c r="R45" s="51">
        <f t="shared" si="38"/>
        <v>33.130869121245802</v>
      </c>
      <c r="S45" s="7">
        <v>31.90035173405537</v>
      </c>
      <c r="T45" s="7">
        <v>30.200781011720622</v>
      </c>
      <c r="U45" s="7">
        <v>30.815634119514922</v>
      </c>
      <c r="V45" s="7">
        <v>29.949913579520221</v>
      </c>
      <c r="W45" s="7">
        <v>32.698287883049709</v>
      </c>
      <c r="X45" s="7">
        <v>29.559121948408499</v>
      </c>
      <c r="Y45" s="7">
        <v>29.09797295713788</v>
      </c>
      <c r="Z45" s="7">
        <v>29.712489155706699</v>
      </c>
      <c r="AA45" s="7">
        <v>30.382380720838569</v>
      </c>
      <c r="AB45" s="7">
        <v>27.711121309651638</v>
      </c>
      <c r="AC45" s="7">
        <v>30.441753226786368</v>
      </c>
      <c r="AD45" s="7">
        <v>28.778820438304482</v>
      </c>
      <c r="AE45" s="7">
        <v>26.787488316438029</v>
      </c>
      <c r="AF45" s="7">
        <v>28.671888850904022</v>
      </c>
      <c r="AG45" s="7">
        <v>27.903071163020499</v>
      </c>
      <c r="AH45" s="7">
        <v>28.731831570508348</v>
      </c>
      <c r="AI45" s="7">
        <v>28.034943297151376</v>
      </c>
      <c r="AJ45" s="7">
        <v>27.201751114859533</v>
      </c>
      <c r="AK45" s="7">
        <v>27.248148220788305</v>
      </c>
      <c r="AL45" s="7">
        <v>61.590791813618665</v>
      </c>
      <c r="AM45" s="7">
        <v>29.839758781973945</v>
      </c>
      <c r="AN45" s="7">
        <v>25.3</v>
      </c>
      <c r="AO45" s="7">
        <v>29.701073099999999</v>
      </c>
      <c r="AP45" s="7">
        <v>30.663274296868341</v>
      </c>
      <c r="AQ45" s="7">
        <v>29.93603399966225</v>
      </c>
      <c r="AR45" s="7">
        <v>27.913506016431199</v>
      </c>
      <c r="AS45" s="7">
        <v>27.325348722925234</v>
      </c>
      <c r="AT45" s="7">
        <v>27.940599426681672</v>
      </c>
      <c r="AU45" s="7">
        <v>28.349182123805004</v>
      </c>
      <c r="AV45" s="7">
        <v>26.70598146588037</v>
      </c>
      <c r="AW45" s="7">
        <v>27.546877006149657</v>
      </c>
      <c r="AX45" s="51">
        <f t="shared" si="39"/>
        <v>28.598189679853935</v>
      </c>
      <c r="AY45" s="51">
        <f t="shared" si="40"/>
        <v>29.123846016706075</v>
      </c>
      <c r="AZ45" s="51">
        <f t="shared" si="41"/>
        <v>29.386674185132144</v>
      </c>
      <c r="BA45" s="28">
        <v>29.649502353558212</v>
      </c>
      <c r="BB45" s="7">
        <v>28.323619818182312</v>
      </c>
      <c r="BC45" s="7">
        <v>27.388372787696941</v>
      </c>
      <c r="BD45" s="7">
        <v>28.560112459835775</v>
      </c>
      <c r="BE45" s="7">
        <v>29.426734705435869</v>
      </c>
      <c r="BF45" s="7">
        <v>28.962708255607545</v>
      </c>
      <c r="BG45" s="7">
        <v>29.388090911194624</v>
      </c>
      <c r="BH45" s="7">
        <v>27.899398822531722</v>
      </c>
      <c r="BI45" s="7">
        <v>29.225960442160375</v>
      </c>
      <c r="BJ45" s="7">
        <v>29.376006016226192</v>
      </c>
      <c r="BK45" s="40">
        <v>30.757796337445409</v>
      </c>
      <c r="BL45" s="7">
        <v>29.516556391218746</v>
      </c>
      <c r="BM45" s="7">
        <v>30.079793955284583</v>
      </c>
      <c r="BN45" s="7">
        <v>30.64432037151877</v>
      </c>
      <c r="BO45" s="7">
        <v>31.764237714150095</v>
      </c>
      <c r="BP45" s="7">
        <v>31.155767886050604</v>
      </c>
      <c r="BQ45" s="7">
        <v>20.56214878773422</v>
      </c>
      <c r="BR45" s="7">
        <v>26.641866876173957</v>
      </c>
      <c r="BS45" s="7">
        <v>30.655726872126404</v>
      </c>
      <c r="BT45" s="7">
        <v>29.117849793563792</v>
      </c>
      <c r="BU45" s="7">
        <v>27.490454024354648</v>
      </c>
      <c r="BV45" s="7">
        <v>30.295848583060103</v>
      </c>
      <c r="BW45" s="7">
        <v>32.126366030094253</v>
      </c>
      <c r="BX45" s="40">
        <v>35.348907450972568</v>
      </c>
      <c r="BY45" s="7">
        <v>35.192620717637034</v>
      </c>
      <c r="BZ45" s="7">
        <v>33.83488548707394</v>
      </c>
      <c r="CA45" s="7">
        <v>32.466196875094582</v>
      </c>
      <c r="CB45" s="7">
        <v>33.767931198448686</v>
      </c>
      <c r="CC45" s="7">
        <v>33.683479037417776</v>
      </c>
      <c r="CD45" s="7">
        <v>33.082298044993991</v>
      </c>
      <c r="CE45" s="7">
        <v>33.772207231095578</v>
      </c>
      <c r="CF45" s="7">
        <v>33.917041285252751</v>
      </c>
      <c r="CG45" s="7">
        <v>33.96613561824428</v>
      </c>
      <c r="CH45" s="7">
        <v>34.328262602197881</v>
      </c>
      <c r="CI45" s="7">
        <v>33.315837983759053</v>
      </c>
      <c r="CJ45" s="40">
        <v>34.799999999999997</v>
      </c>
    </row>
    <row r="46" spans="1:88" s="21" customFormat="1" ht="18" customHeight="1" thickBot="1" x14ac:dyDescent="0.3">
      <c r="A46" s="26" t="s">
        <v>141</v>
      </c>
      <c r="B46" s="40">
        <v>74.409271425521666</v>
      </c>
      <c r="C46" s="40">
        <v>75.128731564338594</v>
      </c>
      <c r="D46" s="40">
        <v>72.968606150109522</v>
      </c>
      <c r="E46" s="40">
        <v>72.985721121156416</v>
      </c>
      <c r="F46" s="40">
        <v>75.423212333453421</v>
      </c>
      <c r="G46" s="40">
        <v>76.012850449164503</v>
      </c>
      <c r="H46" s="40">
        <v>73.830787543473491</v>
      </c>
      <c r="I46" s="40">
        <v>73.122076400527973</v>
      </c>
      <c r="J46" s="40">
        <v>72.366045934766916</v>
      </c>
      <c r="K46" s="40">
        <v>72.734132822811389</v>
      </c>
      <c r="L46" s="7">
        <v>70.748975828715714</v>
      </c>
      <c r="M46" s="7">
        <v>70.480041705326997</v>
      </c>
      <c r="N46" s="7">
        <v>70.570864105587617</v>
      </c>
      <c r="O46" s="7">
        <v>69.682508571444799</v>
      </c>
      <c r="P46" s="7">
        <v>67.686208707763029</v>
      </c>
      <c r="Q46" s="7">
        <v>65.840198408041701</v>
      </c>
      <c r="R46" s="51">
        <f t="shared" si="38"/>
        <v>66.696414565736617</v>
      </c>
      <c r="S46" s="7">
        <v>67.552630723431534</v>
      </c>
      <c r="T46" s="7">
        <v>63.661516091037882</v>
      </c>
      <c r="U46" s="7">
        <v>61.764228983133137</v>
      </c>
      <c r="V46" s="7">
        <v>62.516706032466814</v>
      </c>
      <c r="W46" s="7">
        <v>63.565382555847172</v>
      </c>
      <c r="X46" s="7">
        <v>63.728737312407802</v>
      </c>
      <c r="Y46" s="7">
        <v>62.406285579257158</v>
      </c>
      <c r="Z46" s="7">
        <v>61.880996841686112</v>
      </c>
      <c r="AA46" s="7">
        <v>62.166239140836247</v>
      </c>
      <c r="AB46" s="7">
        <v>61.41785560025599</v>
      </c>
      <c r="AC46" s="7">
        <v>63.112626544614059</v>
      </c>
      <c r="AD46" s="7">
        <v>64.112312778099451</v>
      </c>
      <c r="AE46" s="7">
        <v>61.801896829804036</v>
      </c>
      <c r="AF46" s="7">
        <v>58.689477487235806</v>
      </c>
      <c r="AG46" s="7">
        <v>63.333975002094853</v>
      </c>
      <c r="AH46" s="7">
        <v>60.380093441734616</v>
      </c>
      <c r="AI46" s="7">
        <v>61.628423142101752</v>
      </c>
      <c r="AJ46" s="7">
        <v>60.507297078043074</v>
      </c>
      <c r="AK46" s="7">
        <v>62.162725525163864</v>
      </c>
      <c r="AL46" s="7">
        <v>16.048047272316314</v>
      </c>
      <c r="AM46" s="7">
        <v>59.849998584366858</v>
      </c>
      <c r="AN46" s="7">
        <v>58.7</v>
      </c>
      <c r="AO46" s="7">
        <v>58.873933200000003</v>
      </c>
      <c r="AP46" s="7">
        <v>59.209594204132202</v>
      </c>
      <c r="AQ46" s="7">
        <v>56.814546682774449</v>
      </c>
      <c r="AR46" s="7">
        <v>58.103830248268174</v>
      </c>
      <c r="AS46" s="7">
        <v>58.076503194241724</v>
      </c>
      <c r="AT46" s="7">
        <v>58.804420602661558</v>
      </c>
      <c r="AU46" s="7">
        <v>60.307712828271043</v>
      </c>
      <c r="AV46" s="7">
        <v>55.75109548306655</v>
      </c>
      <c r="AW46" s="7">
        <v>58.665307184728341</v>
      </c>
      <c r="AX46" s="51">
        <f t="shared" si="39"/>
        <v>57.806576806273952</v>
      </c>
      <c r="AY46" s="51">
        <f t="shared" si="40"/>
        <v>57.377211617046761</v>
      </c>
      <c r="AZ46" s="51">
        <f t="shared" si="41"/>
        <v>57.162529022433162</v>
      </c>
      <c r="BA46" s="28">
        <v>56.94784642781957</v>
      </c>
      <c r="BB46" s="7">
        <v>60.320490239736266</v>
      </c>
      <c r="BC46" s="7">
        <v>61.504132787979948</v>
      </c>
      <c r="BD46" s="7">
        <v>58.6006997185617</v>
      </c>
      <c r="BE46" s="7">
        <v>58.054076904085697</v>
      </c>
      <c r="BF46" s="7">
        <v>59.430915471027099</v>
      </c>
      <c r="BG46" s="7">
        <v>60.653257756200873</v>
      </c>
      <c r="BH46" s="7">
        <v>59.84286073358588</v>
      </c>
      <c r="BI46" s="7">
        <v>60.585893666732318</v>
      </c>
      <c r="BJ46" s="7">
        <v>60.234487267562066</v>
      </c>
      <c r="BK46" s="40">
        <v>61.664749436435585</v>
      </c>
      <c r="BL46" s="7">
        <v>61.977822039500985</v>
      </c>
      <c r="BM46" s="7">
        <v>60.503652064098844</v>
      </c>
      <c r="BN46" s="7">
        <v>60.707082173516511</v>
      </c>
      <c r="BO46" s="7">
        <v>63.719627465596005</v>
      </c>
      <c r="BP46" s="7">
        <v>61.221924720070042</v>
      </c>
      <c r="BQ46" s="7">
        <v>47.138163489385789</v>
      </c>
      <c r="BR46" s="7">
        <v>52.800216778644604</v>
      </c>
      <c r="BS46" s="7">
        <v>56.731716063226081</v>
      </c>
      <c r="BT46" s="7">
        <v>61.230217858510031</v>
      </c>
      <c r="BU46" s="7">
        <v>59.111358922366819</v>
      </c>
      <c r="BV46" s="7">
        <v>61.336124431874005</v>
      </c>
      <c r="BW46" s="7">
        <v>60.948144355498279</v>
      </c>
      <c r="BX46" s="40">
        <v>63.351053961788772</v>
      </c>
      <c r="BY46" s="7">
        <v>66.229202805608224</v>
      </c>
      <c r="BZ46" s="7">
        <v>65.425513584394494</v>
      </c>
      <c r="CA46" s="7">
        <v>62.35489170377415</v>
      </c>
      <c r="CB46" s="7">
        <v>64.380546799263954</v>
      </c>
      <c r="CC46" s="7">
        <v>62.970042317917475</v>
      </c>
      <c r="CD46" s="7">
        <v>63.302862257960101</v>
      </c>
      <c r="CE46" s="7">
        <v>61.700762294505992</v>
      </c>
      <c r="CF46" s="7">
        <v>59.731412936619797</v>
      </c>
      <c r="CG46" s="7">
        <v>61.234472529092109</v>
      </c>
      <c r="CH46" s="7">
        <v>64.639514290545605</v>
      </c>
      <c r="CI46" s="7">
        <v>62.028659502981853</v>
      </c>
      <c r="CJ46" s="40">
        <v>60.6</v>
      </c>
    </row>
    <row r="47" spans="1:88" s="1" customFormat="1" ht="30" customHeight="1" thickBot="1" x14ac:dyDescent="0.3">
      <c r="A47" s="52" t="s">
        <v>142</v>
      </c>
      <c r="B47" s="53">
        <f>+AVERAGE(B48:B52)</f>
        <v>49.177198964428541</v>
      </c>
      <c r="C47" s="53">
        <f t="shared" ref="C47:BN47" si="42">+AVERAGE(C48:C52)</f>
        <v>48.889547795472986</v>
      </c>
      <c r="D47" s="53">
        <f t="shared" si="42"/>
        <v>47.793583308005687</v>
      </c>
      <c r="E47" s="53">
        <f t="shared" si="42"/>
        <v>48.253615794865915</v>
      </c>
      <c r="F47" s="53">
        <f t="shared" si="42"/>
        <v>48.019628998924638</v>
      </c>
      <c r="G47" s="53">
        <f t="shared" si="42"/>
        <v>48.213409732732956</v>
      </c>
      <c r="H47" s="53">
        <f t="shared" si="42"/>
        <v>47.018893655394962</v>
      </c>
      <c r="I47" s="53">
        <f t="shared" si="42"/>
        <v>47.087838939054592</v>
      </c>
      <c r="J47" s="53">
        <f t="shared" si="42"/>
        <v>46.725185166046138</v>
      </c>
      <c r="K47" s="53">
        <f t="shared" si="42"/>
        <v>45.791784517337661</v>
      </c>
      <c r="L47" s="53">
        <f t="shared" si="42"/>
        <v>44.828362349710346</v>
      </c>
      <c r="M47" s="53">
        <f t="shared" si="42"/>
        <v>44.505829448200316</v>
      </c>
      <c r="N47" s="53">
        <f t="shared" si="42"/>
        <v>43.692298676371173</v>
      </c>
      <c r="O47" s="53">
        <f t="shared" si="42"/>
        <v>43.270829072430473</v>
      </c>
      <c r="P47" s="53">
        <f t="shared" si="42"/>
        <v>41.947761691480899</v>
      </c>
      <c r="Q47" s="53">
        <f t="shared" si="42"/>
        <v>41.442282466670214</v>
      </c>
      <c r="R47" s="53">
        <f t="shared" si="42"/>
        <v>40.719606134059269</v>
      </c>
      <c r="S47" s="53">
        <f t="shared" si="42"/>
        <v>39.996929801448331</v>
      </c>
      <c r="T47" s="53">
        <f t="shared" si="42"/>
        <v>38.171443216315978</v>
      </c>
      <c r="U47" s="53">
        <f t="shared" si="42"/>
        <v>37.362981278860047</v>
      </c>
      <c r="V47" s="53">
        <f t="shared" si="42"/>
        <v>37.64993559752638</v>
      </c>
      <c r="W47" s="53">
        <f t="shared" si="42"/>
        <v>38.535280002546934</v>
      </c>
      <c r="X47" s="53">
        <f t="shared" si="42"/>
        <v>36.742318484031756</v>
      </c>
      <c r="Y47" s="53">
        <f t="shared" si="42"/>
        <v>37.03253360716463</v>
      </c>
      <c r="Z47" s="53">
        <f t="shared" si="42"/>
        <v>37.666204193152737</v>
      </c>
      <c r="AA47" s="53">
        <f t="shared" si="42"/>
        <v>37.455895830567151</v>
      </c>
      <c r="AB47" s="53">
        <f t="shared" si="42"/>
        <v>36.112597571887427</v>
      </c>
      <c r="AC47" s="53">
        <f t="shared" si="42"/>
        <v>38.277375521185093</v>
      </c>
      <c r="AD47" s="53">
        <f t="shared" si="42"/>
        <v>37.35306129402079</v>
      </c>
      <c r="AE47" s="53">
        <f t="shared" si="42"/>
        <v>35.164897242213137</v>
      </c>
      <c r="AF47" s="53">
        <f t="shared" si="42"/>
        <v>35.001440957382115</v>
      </c>
      <c r="AG47" s="53">
        <f t="shared" si="42"/>
        <v>35.679138378616685</v>
      </c>
      <c r="AH47" s="53">
        <f t="shared" si="42"/>
        <v>35.768728416582142</v>
      </c>
      <c r="AI47" s="53">
        <f t="shared" si="42"/>
        <v>35.432734973123821</v>
      </c>
      <c r="AJ47" s="53">
        <f t="shared" si="42"/>
        <v>34.102896147324635</v>
      </c>
      <c r="AK47" s="53">
        <f t="shared" si="42"/>
        <v>35.327918472560285</v>
      </c>
      <c r="AL47" s="53">
        <f t="shared" si="42"/>
        <v>36.431177111563599</v>
      </c>
      <c r="AM47" s="53">
        <f t="shared" si="42"/>
        <v>35.167098666807988</v>
      </c>
      <c r="AN47" s="53">
        <f t="shared" si="42"/>
        <v>33.160919045670411</v>
      </c>
      <c r="AO47" s="53">
        <f t="shared" si="42"/>
        <v>35.322076523505558</v>
      </c>
      <c r="AP47" s="53">
        <f t="shared" si="42"/>
        <v>35.963711142114931</v>
      </c>
      <c r="AQ47" s="53">
        <f t="shared" si="42"/>
        <v>34.745454127527623</v>
      </c>
      <c r="AR47" s="53">
        <f t="shared" si="42"/>
        <v>34.054817564514451</v>
      </c>
      <c r="AS47" s="53">
        <f t="shared" si="42"/>
        <v>34.202639777603622</v>
      </c>
      <c r="AT47" s="53">
        <f t="shared" si="42"/>
        <v>35.049286482286661</v>
      </c>
      <c r="AU47" s="53">
        <f t="shared" si="42"/>
        <v>35.424058300918816</v>
      </c>
      <c r="AV47" s="53">
        <f t="shared" si="42"/>
        <v>33.00185261912948</v>
      </c>
      <c r="AW47" s="53">
        <f t="shared" si="42"/>
        <v>33.824445216913524</v>
      </c>
      <c r="AX47" s="53">
        <f t="shared" si="42"/>
        <v>33.168737403770422</v>
      </c>
      <c r="AY47" s="53">
        <f t="shared" si="42"/>
        <v>32.84088349719886</v>
      </c>
      <c r="AZ47" s="53">
        <f t="shared" si="42"/>
        <v>32.6769565439131</v>
      </c>
      <c r="BA47" s="53">
        <f t="shared" si="42"/>
        <v>32.513029590627312</v>
      </c>
      <c r="BB47" s="53">
        <f t="shared" si="42"/>
        <v>34.300284232688391</v>
      </c>
      <c r="BC47" s="53">
        <f t="shared" si="42"/>
        <v>33.038756496376067</v>
      </c>
      <c r="BD47" s="53">
        <f t="shared" si="42"/>
        <v>33.374373172238293</v>
      </c>
      <c r="BE47" s="53">
        <f t="shared" si="42"/>
        <v>33.718016260590751</v>
      </c>
      <c r="BF47" s="53">
        <f t="shared" si="42"/>
        <v>34.86146181085347</v>
      </c>
      <c r="BG47" s="53">
        <f t="shared" si="42"/>
        <v>34.183224551098363</v>
      </c>
      <c r="BH47" s="53">
        <f t="shared" si="42"/>
        <v>33.398670309506215</v>
      </c>
      <c r="BI47" s="53">
        <f t="shared" si="42"/>
        <v>33.645195078681525</v>
      </c>
      <c r="BJ47" s="53">
        <f t="shared" si="42"/>
        <v>34.261686404902207</v>
      </c>
      <c r="BK47" s="53">
        <f t="shared" si="42"/>
        <v>35.785719751611062</v>
      </c>
      <c r="BL47" s="53">
        <f t="shared" si="42"/>
        <v>35.144388672348271</v>
      </c>
      <c r="BM47" s="53">
        <f t="shared" si="42"/>
        <v>34.189179514319811</v>
      </c>
      <c r="BN47" s="53">
        <f t="shared" si="42"/>
        <v>35.372098227406681</v>
      </c>
      <c r="BO47" s="53">
        <f t="shared" ref="BO47:CI47" si="43">+AVERAGE(BO48:BO52)</f>
        <v>36.345888160132112</v>
      </c>
      <c r="BP47" s="53">
        <f t="shared" si="43"/>
        <v>35.609066049071146</v>
      </c>
      <c r="BQ47" s="53">
        <f t="shared" si="43"/>
        <v>26.873763187087235</v>
      </c>
      <c r="BR47" s="53">
        <f t="shared" si="43"/>
        <v>30.046567369990896</v>
      </c>
      <c r="BS47" s="53">
        <f t="shared" si="43"/>
        <v>33.010621637940623</v>
      </c>
      <c r="BT47" s="53">
        <f t="shared" si="43"/>
        <v>33.392420068944304</v>
      </c>
      <c r="BU47" s="53">
        <f t="shared" si="43"/>
        <v>32.333256733638258</v>
      </c>
      <c r="BV47" s="53">
        <f t="shared" si="43"/>
        <v>34.12264093977182</v>
      </c>
      <c r="BW47" s="53">
        <f t="shared" si="43"/>
        <v>33.439253398936316</v>
      </c>
      <c r="BX47" s="53">
        <f t="shared" si="43"/>
        <v>36.14209525841359</v>
      </c>
      <c r="BY47" s="53">
        <f t="shared" si="43"/>
        <v>37.847304989888997</v>
      </c>
      <c r="BZ47" s="53">
        <f t="shared" si="43"/>
        <v>38.180849950929932</v>
      </c>
      <c r="CA47" s="53">
        <f t="shared" si="43"/>
        <v>35.316967285163798</v>
      </c>
      <c r="CB47" s="53">
        <f t="shared" si="43"/>
        <v>36.923355640652446</v>
      </c>
      <c r="CC47" s="53">
        <f t="shared" si="43"/>
        <v>37.619627534152521</v>
      </c>
      <c r="CD47" s="53">
        <f t="shared" si="43"/>
        <v>37.156638617294853</v>
      </c>
      <c r="CE47" s="53">
        <f t="shared" si="43"/>
        <v>36.383514999365332</v>
      </c>
      <c r="CF47" s="53">
        <f t="shared" si="43"/>
        <v>36.302559510744807</v>
      </c>
      <c r="CG47" s="53">
        <f t="shared" si="43"/>
        <v>36.509643215642981</v>
      </c>
      <c r="CH47" s="53">
        <f t="shared" si="43"/>
        <v>34.950953201341825</v>
      </c>
      <c r="CI47" s="53">
        <f t="shared" si="43"/>
        <v>34.991277507604721</v>
      </c>
      <c r="CJ47" s="54">
        <f>+AVERAGE(CJ48:CJ52)</f>
        <v>37.119999999999997</v>
      </c>
    </row>
    <row r="48" spans="1:88" s="1" customFormat="1" ht="18" customHeight="1" x14ac:dyDescent="0.25">
      <c r="A48" s="26" t="s">
        <v>143</v>
      </c>
      <c r="B48" s="39">
        <v>82.760947434255201</v>
      </c>
      <c r="C48" s="39">
        <v>82.482776087154392</v>
      </c>
      <c r="D48" s="39">
        <v>81.302406066698055</v>
      </c>
      <c r="E48" s="39">
        <v>81.362994338533412</v>
      </c>
      <c r="F48" s="39">
        <v>85.281552478455495</v>
      </c>
      <c r="G48" s="39">
        <v>82.111323456645962</v>
      </c>
      <c r="H48" s="39">
        <v>81.204855586484456</v>
      </c>
      <c r="I48" s="44">
        <v>81.303552891113767</v>
      </c>
      <c r="J48" s="45">
        <v>82.815659859750639</v>
      </c>
      <c r="K48" s="45">
        <v>80.246544303738602</v>
      </c>
      <c r="L48" s="10">
        <v>81.073902550596401</v>
      </c>
      <c r="M48" s="10">
        <v>77.938631758386663</v>
      </c>
      <c r="N48" s="10">
        <v>79.015843816757652</v>
      </c>
      <c r="O48" s="10">
        <v>75.272003347733502</v>
      </c>
      <c r="P48" s="11">
        <v>76.254983276329156</v>
      </c>
      <c r="Q48" s="10">
        <v>74.727212391228576</v>
      </c>
      <c r="R48" s="51">
        <f t="shared" ref="R48:R52" si="44">+(Q48+S48)/2</f>
        <v>71.823171963097963</v>
      </c>
      <c r="S48" s="10">
        <v>68.919131534967363</v>
      </c>
      <c r="T48" s="10">
        <v>68.8208758727895</v>
      </c>
      <c r="U48" s="10">
        <v>67.35801403976626</v>
      </c>
      <c r="V48" s="11">
        <v>71.551302824881404</v>
      </c>
      <c r="W48" s="11">
        <v>69.25416206855067</v>
      </c>
      <c r="X48" s="11">
        <v>69.604869767725091</v>
      </c>
      <c r="Y48" s="10">
        <v>67.506538601161196</v>
      </c>
      <c r="Z48" s="10">
        <v>72.142167771867278</v>
      </c>
      <c r="AA48" s="10">
        <v>68.285704966614318</v>
      </c>
      <c r="AB48" s="10">
        <v>65.745243973077194</v>
      </c>
      <c r="AC48" s="10">
        <v>68.724654395099975</v>
      </c>
      <c r="AD48" s="10">
        <v>68.749177388807141</v>
      </c>
      <c r="AE48" s="10">
        <v>64.647115646074553</v>
      </c>
      <c r="AF48" s="10">
        <v>64.563542109531582</v>
      </c>
      <c r="AG48" s="10">
        <v>64.77907495956164</v>
      </c>
      <c r="AH48" s="10">
        <v>65.931824056104119</v>
      </c>
      <c r="AI48" s="10">
        <v>64.943543778430495</v>
      </c>
      <c r="AJ48" s="10">
        <v>63.487792725460892</v>
      </c>
      <c r="AK48" s="10">
        <v>64.468538128846603</v>
      </c>
      <c r="AL48" s="10">
        <v>67.565529000167686</v>
      </c>
      <c r="AM48" s="10">
        <v>61.823296783574392</v>
      </c>
      <c r="AN48" s="10">
        <v>59.377278140809054</v>
      </c>
      <c r="AO48" s="10">
        <v>62.282790906490661</v>
      </c>
      <c r="AP48" s="10">
        <v>65.500905913341185</v>
      </c>
      <c r="AQ48" s="10">
        <v>64.181148463197729</v>
      </c>
      <c r="AR48" s="10">
        <v>63.535763697186596</v>
      </c>
      <c r="AS48" s="10">
        <v>61.76144858117425</v>
      </c>
      <c r="AT48" s="10">
        <v>65.904145675411996</v>
      </c>
      <c r="AU48" s="10">
        <v>63.497792122615316</v>
      </c>
      <c r="AV48" s="10">
        <v>61.69730098787187</v>
      </c>
      <c r="AW48" s="10">
        <v>61.694780009097691</v>
      </c>
      <c r="AX48" s="51">
        <f t="shared" ref="AX48:AX52" si="45">+(AW48+BA48)/2</f>
        <v>60.35145533303637</v>
      </c>
      <c r="AY48" s="51">
        <f t="shared" ref="AY48:AY52" si="46">+(AX48+BA48)/2</f>
        <v>59.679792995005712</v>
      </c>
      <c r="AZ48" s="51">
        <f t="shared" ref="AZ48:AZ52" si="47">+(AY48+BA48)/2</f>
        <v>59.343961825990384</v>
      </c>
      <c r="BA48" s="28">
        <v>59.008130656975055</v>
      </c>
      <c r="BB48" s="10">
        <v>64.416300896480493</v>
      </c>
      <c r="BC48" s="10">
        <v>63.482763881559364</v>
      </c>
      <c r="BD48" s="10">
        <v>65.826148112879821</v>
      </c>
      <c r="BE48" s="10">
        <v>59.857710733647671</v>
      </c>
      <c r="BF48" s="10">
        <v>64.369969195014605</v>
      </c>
      <c r="BG48" s="10">
        <v>63.184412883582155</v>
      </c>
      <c r="BH48" s="10">
        <v>65.203315024143222</v>
      </c>
      <c r="BI48" s="10">
        <v>62.062816461073169</v>
      </c>
      <c r="BJ48" s="10">
        <v>66.893239918295976</v>
      </c>
      <c r="BK48" s="45">
        <v>67.39247971645635</v>
      </c>
      <c r="BL48" s="10">
        <v>67.678431088257057</v>
      </c>
      <c r="BM48" s="10">
        <v>64.144219437794121</v>
      </c>
      <c r="BN48" s="10">
        <v>67.370288248337033</v>
      </c>
      <c r="BO48" s="10">
        <v>67.117942395593303</v>
      </c>
      <c r="BP48" s="10">
        <v>66.987476593538887</v>
      </c>
      <c r="BQ48" s="10">
        <v>56.493437242022196</v>
      </c>
      <c r="BR48" s="10">
        <v>59.585273644756697</v>
      </c>
      <c r="BS48" s="10">
        <v>57.35718844657147</v>
      </c>
      <c r="BT48" s="10">
        <v>68.234768894819837</v>
      </c>
      <c r="BU48" s="10">
        <v>61.452542339773018</v>
      </c>
      <c r="BV48" s="10">
        <v>67.359068043626635</v>
      </c>
      <c r="BW48" s="10">
        <v>64.186995466402848</v>
      </c>
      <c r="BX48" s="45">
        <v>65.083312707031027</v>
      </c>
      <c r="BY48" s="10">
        <v>67.307550586989976</v>
      </c>
      <c r="BZ48" s="10">
        <v>70.23653029657666</v>
      </c>
      <c r="CA48" s="10">
        <v>61.317350327841616</v>
      </c>
      <c r="CB48" s="10">
        <v>69.865451444420771</v>
      </c>
      <c r="CC48" s="10">
        <v>68.128276115620082</v>
      </c>
      <c r="CD48" s="10">
        <v>70.461596236543485</v>
      </c>
      <c r="CE48" s="10">
        <v>64.67744699173133</v>
      </c>
      <c r="CF48" s="10">
        <v>66.637311279746299</v>
      </c>
      <c r="CG48" s="10">
        <v>67.896993172382992</v>
      </c>
      <c r="CH48" s="10">
        <v>67.350804981101035</v>
      </c>
      <c r="CI48" s="10">
        <v>62.535102495101491</v>
      </c>
      <c r="CJ48" s="45">
        <v>70.599999999999994</v>
      </c>
    </row>
    <row r="49" spans="1:97" s="1" customFormat="1" ht="18" customHeight="1" x14ac:dyDescent="0.25">
      <c r="A49" s="26" t="s">
        <v>144</v>
      </c>
      <c r="B49" s="39">
        <v>61.565474251598538</v>
      </c>
      <c r="C49" s="39">
        <v>56.966232911562095</v>
      </c>
      <c r="D49" s="39">
        <v>58.604582955809725</v>
      </c>
      <c r="E49" s="39">
        <v>58.809051611524119</v>
      </c>
      <c r="F49" s="39">
        <v>59.897587005871181</v>
      </c>
      <c r="G49" s="39">
        <v>55.454050730424832</v>
      </c>
      <c r="H49" s="39">
        <v>58.428419507722197</v>
      </c>
      <c r="I49" s="44">
        <v>56.278285356211754</v>
      </c>
      <c r="J49" s="45">
        <v>57.405677621409389</v>
      </c>
      <c r="K49" s="45">
        <v>56.542390133873063</v>
      </c>
      <c r="L49" s="10">
        <v>57.941463297344583</v>
      </c>
      <c r="M49" s="10">
        <v>54.374681258583465</v>
      </c>
      <c r="N49" s="10">
        <v>54.405070193971937</v>
      </c>
      <c r="O49" s="10">
        <v>53.463124001691178</v>
      </c>
      <c r="P49" s="11">
        <v>49.680435729446756</v>
      </c>
      <c r="Q49" s="10">
        <v>50.816856288562306</v>
      </c>
      <c r="R49" s="51">
        <f t="shared" si="44"/>
        <v>49.223639927829517</v>
      </c>
      <c r="S49" s="10">
        <v>47.630423567096727</v>
      </c>
      <c r="T49" s="10">
        <v>48.849258644321161</v>
      </c>
      <c r="U49" s="10">
        <v>45.214224461924474</v>
      </c>
      <c r="V49" s="11">
        <v>44.430430951236218</v>
      </c>
      <c r="W49" s="11">
        <v>46.163689766986892</v>
      </c>
      <c r="X49" s="11">
        <v>45.563054692298159</v>
      </c>
      <c r="Y49" s="10">
        <v>44.573673031617453</v>
      </c>
      <c r="Z49" s="10">
        <v>46.010771416305118</v>
      </c>
      <c r="AA49" s="10">
        <v>44.575219550756401</v>
      </c>
      <c r="AB49" s="10">
        <v>45.579514701669368</v>
      </c>
      <c r="AC49" s="10">
        <v>47.04134335983651</v>
      </c>
      <c r="AD49" s="10">
        <v>46.692464820851498</v>
      </c>
      <c r="AE49" s="10">
        <v>43.242020728858293</v>
      </c>
      <c r="AF49" s="10">
        <v>39.936335058894628</v>
      </c>
      <c r="AG49" s="10">
        <v>42.615034213839451</v>
      </c>
      <c r="AH49" s="10">
        <v>42.541829353295398</v>
      </c>
      <c r="AI49" s="10">
        <v>41.87402171742476</v>
      </c>
      <c r="AJ49" s="10">
        <v>41.597299997966076</v>
      </c>
      <c r="AK49" s="10">
        <v>44.900240427525198</v>
      </c>
      <c r="AL49" s="10">
        <v>45.840911401210775</v>
      </c>
      <c r="AM49" s="10">
        <v>43.613678034986528</v>
      </c>
      <c r="AN49" s="10">
        <v>42.383458263416998</v>
      </c>
      <c r="AO49" s="10">
        <v>44.108410777206487</v>
      </c>
      <c r="AP49" s="10">
        <v>46.180456195139186</v>
      </c>
      <c r="AQ49" s="10">
        <v>40.766268687295749</v>
      </c>
      <c r="AR49" s="10">
        <v>41.149709815826128</v>
      </c>
      <c r="AS49" s="10">
        <v>42.948362971254163</v>
      </c>
      <c r="AT49" s="10">
        <v>43.225742632338402</v>
      </c>
      <c r="AU49" s="10">
        <v>44.556215860343897</v>
      </c>
      <c r="AV49" s="10">
        <v>41.522619565010366</v>
      </c>
      <c r="AW49" s="10">
        <v>43.654821483865412</v>
      </c>
      <c r="AX49" s="51">
        <f t="shared" si="45"/>
        <v>42.517691148718384</v>
      </c>
      <c r="AY49" s="51">
        <f t="shared" si="46"/>
        <v>41.949125981144867</v>
      </c>
      <c r="AZ49" s="51">
        <f t="shared" si="47"/>
        <v>41.664843397358112</v>
      </c>
      <c r="BA49" s="28">
        <v>41.38056081357135</v>
      </c>
      <c r="BB49" s="10">
        <v>44.867087168996477</v>
      </c>
      <c r="BC49" s="10">
        <v>40.293868833660191</v>
      </c>
      <c r="BD49" s="10">
        <v>42.211537798495371</v>
      </c>
      <c r="BE49" s="10">
        <v>40.907541332161088</v>
      </c>
      <c r="BF49" s="10">
        <v>43.98283370064523</v>
      </c>
      <c r="BG49" s="10">
        <v>41.845017780874336</v>
      </c>
      <c r="BH49" s="10">
        <v>40.959960310273971</v>
      </c>
      <c r="BI49" s="10">
        <v>41.585569485854677</v>
      </c>
      <c r="BJ49" s="10">
        <v>43.54692075524099</v>
      </c>
      <c r="BK49" s="45">
        <v>43.361986551212638</v>
      </c>
      <c r="BL49" s="10">
        <v>42.165917250407773</v>
      </c>
      <c r="BM49" s="10">
        <v>41.801671544409224</v>
      </c>
      <c r="BN49" s="10">
        <v>44.070165179610029</v>
      </c>
      <c r="BO49" s="10">
        <v>45.215375924647667</v>
      </c>
      <c r="BP49" s="10">
        <v>42.935105233247107</v>
      </c>
      <c r="BQ49" s="10">
        <v>30.255072585104138</v>
      </c>
      <c r="BR49" s="10">
        <v>34.941239868010896</v>
      </c>
      <c r="BS49" s="10">
        <v>41.211129064151173</v>
      </c>
      <c r="BT49" s="10">
        <v>43.111527083061951</v>
      </c>
      <c r="BU49" s="10">
        <v>42.883366191487212</v>
      </c>
      <c r="BV49" s="10">
        <v>42.617949191117674</v>
      </c>
      <c r="BW49" s="10">
        <v>43.335446126136866</v>
      </c>
      <c r="BX49" s="45">
        <v>48.56965921568068</v>
      </c>
      <c r="BY49" s="10">
        <v>48.580130292353061</v>
      </c>
      <c r="BZ49" s="10">
        <v>44.832353841358803</v>
      </c>
      <c r="CA49" s="10">
        <v>42.742506441866787</v>
      </c>
      <c r="CB49" s="10">
        <v>45.909962489687487</v>
      </c>
      <c r="CC49" s="10">
        <v>47.362594697604436</v>
      </c>
      <c r="CD49" s="10">
        <v>45.52455494480062</v>
      </c>
      <c r="CE49" s="10">
        <v>45.4743148096818</v>
      </c>
      <c r="CF49" s="10">
        <v>47.682715117090346</v>
      </c>
      <c r="CG49" s="10">
        <v>46.247892473775053</v>
      </c>
      <c r="CH49" s="10">
        <v>41.283472350018897</v>
      </c>
      <c r="CI49" s="10">
        <v>44.296357665921867</v>
      </c>
      <c r="CJ49" s="45">
        <v>46</v>
      </c>
    </row>
    <row r="50" spans="1:97" s="1" customFormat="1" ht="18" customHeight="1" x14ac:dyDescent="0.25">
      <c r="A50" s="26" t="s">
        <v>145</v>
      </c>
      <c r="B50" s="39">
        <v>43.090515210514113</v>
      </c>
      <c r="C50" s="39">
        <v>44.149079246030936</v>
      </c>
      <c r="D50" s="39">
        <v>45.196990726496608</v>
      </c>
      <c r="E50" s="39">
        <v>44.174036772109751</v>
      </c>
      <c r="F50" s="39">
        <v>43.774717373802488</v>
      </c>
      <c r="G50" s="39">
        <v>43.630730360788874</v>
      </c>
      <c r="H50" s="39">
        <v>41.099443022326135</v>
      </c>
      <c r="I50" s="44">
        <v>41.149177925019067</v>
      </c>
      <c r="J50" s="45">
        <v>42.019403699925881</v>
      </c>
      <c r="K50" s="45">
        <v>40.677432347320249</v>
      </c>
      <c r="L50" s="10">
        <v>38.464099021023365</v>
      </c>
      <c r="M50" s="10">
        <v>39.289366017414409</v>
      </c>
      <c r="N50" s="10">
        <v>39.746125947906364</v>
      </c>
      <c r="O50" s="10">
        <v>39.650792625569196</v>
      </c>
      <c r="P50" s="11">
        <v>36.861880963816738</v>
      </c>
      <c r="Q50" s="10">
        <v>36.077430392481133</v>
      </c>
      <c r="R50" s="51">
        <f t="shared" si="44"/>
        <v>36.871213945847657</v>
      </c>
      <c r="S50" s="10">
        <v>37.664997499214181</v>
      </c>
      <c r="T50" s="10">
        <v>32.042413257487858</v>
      </c>
      <c r="U50" s="10">
        <v>34.269318722305378</v>
      </c>
      <c r="V50" s="11">
        <v>33.252005861383942</v>
      </c>
      <c r="W50" s="11">
        <v>33.957975629495721</v>
      </c>
      <c r="X50" s="11">
        <v>30.411590846183952</v>
      </c>
      <c r="Y50" s="10">
        <v>32.212795126295404</v>
      </c>
      <c r="Z50" s="10">
        <v>32.41341843667356</v>
      </c>
      <c r="AA50" s="10">
        <v>33.427798466219002</v>
      </c>
      <c r="AB50" s="10">
        <v>31.842209186184849</v>
      </c>
      <c r="AC50" s="10">
        <v>35.200250526746153</v>
      </c>
      <c r="AD50" s="10">
        <v>34.504282709837675</v>
      </c>
      <c r="AE50" s="10">
        <v>31.774777863224895</v>
      </c>
      <c r="AF50" s="10">
        <v>32.861643052145588</v>
      </c>
      <c r="AG50" s="10">
        <v>32.713958522441274</v>
      </c>
      <c r="AH50" s="10">
        <v>31.848608221972203</v>
      </c>
      <c r="AI50" s="10">
        <v>32.431329186491432</v>
      </c>
      <c r="AJ50" s="10">
        <v>29.410274625464279</v>
      </c>
      <c r="AK50" s="10">
        <v>29.777314206395701</v>
      </c>
      <c r="AL50" s="10">
        <v>32.938215194402119</v>
      </c>
      <c r="AM50" s="10">
        <v>30.070147565437715</v>
      </c>
      <c r="AN50" s="10">
        <v>29.838400182248847</v>
      </c>
      <c r="AO50" s="10">
        <v>30.747883251159791</v>
      </c>
      <c r="AP50" s="10">
        <v>30.806466354870526</v>
      </c>
      <c r="AQ50" s="10">
        <v>32.759151401373288</v>
      </c>
      <c r="AR50" s="10">
        <v>29.969251282001736</v>
      </c>
      <c r="AS50" s="10">
        <v>32.464319559286025</v>
      </c>
      <c r="AT50" s="10">
        <v>32.434981070914162</v>
      </c>
      <c r="AU50" s="10">
        <v>32.692326070793044</v>
      </c>
      <c r="AV50" s="10">
        <v>28.830103978913503</v>
      </c>
      <c r="AW50" s="10">
        <v>29.579399163895104</v>
      </c>
      <c r="AX50" s="51">
        <f t="shared" si="45"/>
        <v>29.453336208653567</v>
      </c>
      <c r="AY50" s="51">
        <f t="shared" si="46"/>
        <v>29.390304731032799</v>
      </c>
      <c r="AZ50" s="51">
        <f t="shared" si="47"/>
        <v>29.358788992222415</v>
      </c>
      <c r="BA50" s="28">
        <v>29.327273253412027</v>
      </c>
      <c r="BB50" s="10">
        <v>30.477169014658834</v>
      </c>
      <c r="BC50" s="10">
        <v>27.958759204785622</v>
      </c>
      <c r="BD50" s="10">
        <v>26.019505274631815</v>
      </c>
      <c r="BE50" s="10">
        <v>30.904703634107516</v>
      </c>
      <c r="BF50" s="10">
        <v>31.284923564245084</v>
      </c>
      <c r="BG50" s="10">
        <v>29.401245955752909</v>
      </c>
      <c r="BH50" s="10">
        <v>30.90462958153244</v>
      </c>
      <c r="BI50" s="10">
        <v>28.718576114814692</v>
      </c>
      <c r="BJ50" s="10">
        <v>28.9286835414525</v>
      </c>
      <c r="BK50" s="45">
        <v>30.989695866303652</v>
      </c>
      <c r="BL50" s="10">
        <v>30.645087215649745</v>
      </c>
      <c r="BM50" s="10">
        <v>27.141862691935962</v>
      </c>
      <c r="BN50" s="10">
        <v>29.732409276911813</v>
      </c>
      <c r="BO50" s="10">
        <v>31.58752272418835</v>
      </c>
      <c r="BP50" s="10">
        <v>32.371055675843323</v>
      </c>
      <c r="BQ50" s="10">
        <v>24.503757289085996</v>
      </c>
      <c r="BR50" s="10">
        <v>28.907444368475339</v>
      </c>
      <c r="BS50" s="10">
        <v>32.277260523705387</v>
      </c>
      <c r="BT50" s="10">
        <v>26.83292658742204</v>
      </c>
      <c r="BU50" s="10">
        <v>27.155455882032253</v>
      </c>
      <c r="BV50" s="10">
        <v>26.071103851591797</v>
      </c>
      <c r="BW50" s="10">
        <v>27.715110478090988</v>
      </c>
      <c r="BX50" s="45">
        <v>32.126405384302601</v>
      </c>
      <c r="BY50" s="10">
        <v>35.052716097355713</v>
      </c>
      <c r="BZ50" s="10">
        <v>34.67150524617724</v>
      </c>
      <c r="CA50" s="10">
        <v>32.364464254796218</v>
      </c>
      <c r="CB50" s="10">
        <v>34.132745969041508</v>
      </c>
      <c r="CC50" s="10">
        <v>35.771593592730596</v>
      </c>
      <c r="CD50" s="10">
        <v>35.015659085924902</v>
      </c>
      <c r="CE50" s="10">
        <v>32.076685425218145</v>
      </c>
      <c r="CF50" s="10">
        <v>33.892357493634734</v>
      </c>
      <c r="CG50" s="10">
        <v>33.948882850033343</v>
      </c>
      <c r="CH50" s="10">
        <v>31.102266261580908</v>
      </c>
      <c r="CI50" s="10">
        <v>31.858766805261276</v>
      </c>
      <c r="CJ50" s="45">
        <v>30.4</v>
      </c>
    </row>
    <row r="51" spans="1:97" s="1" customFormat="1" ht="18" customHeight="1" x14ac:dyDescent="0.25">
      <c r="A51" s="26" t="s">
        <v>146</v>
      </c>
      <c r="B51" s="39">
        <v>34.871561135759919</v>
      </c>
      <c r="C51" s="39">
        <v>35.224438281784693</v>
      </c>
      <c r="D51" s="39">
        <v>31.862919075428316</v>
      </c>
      <c r="E51" s="39">
        <v>32.837384090273815</v>
      </c>
      <c r="F51" s="39">
        <v>30.827554329205185</v>
      </c>
      <c r="G51" s="39">
        <v>34.775516063236957</v>
      </c>
      <c r="H51" s="39">
        <v>31.433483800696184</v>
      </c>
      <c r="I51" s="44">
        <v>33.822619078453208</v>
      </c>
      <c r="J51" s="45">
        <v>30.157372995700293</v>
      </c>
      <c r="K51" s="45">
        <v>30.322509222689281</v>
      </c>
      <c r="L51" s="10">
        <v>27.195581184118851</v>
      </c>
      <c r="M51" s="10">
        <v>29.711375535580171</v>
      </c>
      <c r="N51" s="10">
        <v>27.745851463696848</v>
      </c>
      <c r="O51" s="10">
        <v>27.32582099202223</v>
      </c>
      <c r="P51" s="11">
        <v>28.864265894049268</v>
      </c>
      <c r="Q51" s="10">
        <v>26.581961209944367</v>
      </c>
      <c r="R51" s="51">
        <f t="shared" si="44"/>
        <v>26.713871988168204</v>
      </c>
      <c r="S51" s="10">
        <v>26.845782766392041</v>
      </c>
      <c r="T51" s="10">
        <v>25.40893138169714</v>
      </c>
      <c r="U51" s="10">
        <v>23.080204611406398</v>
      </c>
      <c r="V51" s="11">
        <v>24.591494046518058</v>
      </c>
      <c r="W51" s="11">
        <v>25.409995447269097</v>
      </c>
      <c r="X51" s="11">
        <v>22.948259037592987</v>
      </c>
      <c r="Y51" s="10">
        <v>24.895321603628449</v>
      </c>
      <c r="Z51" s="10">
        <v>23.143734643734643</v>
      </c>
      <c r="AA51" s="10">
        <v>24.830905695301851</v>
      </c>
      <c r="AB51" s="10">
        <v>22.462687124866417</v>
      </c>
      <c r="AC51" s="10">
        <v>24.022477239170033</v>
      </c>
      <c r="AD51" s="10">
        <v>23.125817712131923</v>
      </c>
      <c r="AE51" s="10">
        <v>21.505481857977301</v>
      </c>
      <c r="AF51" s="10">
        <v>24.100990603831306</v>
      </c>
      <c r="AG51" s="10">
        <v>24.446922621790453</v>
      </c>
      <c r="AH51" s="10">
        <v>23.804529051305394</v>
      </c>
      <c r="AI51" s="10">
        <v>22.351282144331392</v>
      </c>
      <c r="AJ51" s="10">
        <v>21.342800177324126</v>
      </c>
      <c r="AK51" s="10">
        <v>22.183515766455852</v>
      </c>
      <c r="AL51" s="10">
        <v>22.177470898251276</v>
      </c>
      <c r="AM51" s="10">
        <v>23.451730949493452</v>
      </c>
      <c r="AN51" s="10">
        <v>20.880256786899515</v>
      </c>
      <c r="AO51" s="10">
        <v>23.768177584433904</v>
      </c>
      <c r="AP51" s="10">
        <v>23.670591998248334</v>
      </c>
      <c r="AQ51" s="10">
        <v>21.797871638564484</v>
      </c>
      <c r="AR51" s="10">
        <v>20.760325151694541</v>
      </c>
      <c r="AS51" s="10">
        <v>20.933914469804403</v>
      </c>
      <c r="AT51" s="10">
        <v>21.727997999818164</v>
      </c>
      <c r="AU51" s="10">
        <v>20.743360294506211</v>
      </c>
      <c r="AV51" s="10">
        <v>19.173171960532347</v>
      </c>
      <c r="AW51" s="10">
        <v>21.303181217494526</v>
      </c>
      <c r="AX51" s="51">
        <f t="shared" si="45"/>
        <v>20.702170874519098</v>
      </c>
      <c r="AY51" s="51">
        <f t="shared" si="46"/>
        <v>20.401665703031384</v>
      </c>
      <c r="AZ51" s="51">
        <f t="shared" si="47"/>
        <v>20.251413117287527</v>
      </c>
      <c r="BA51" s="28">
        <v>20.10116053154367</v>
      </c>
      <c r="BB51" s="10">
        <v>20.086558573064856</v>
      </c>
      <c r="BC51" s="10">
        <v>19.806178336997533</v>
      </c>
      <c r="BD51" s="10">
        <v>19.114554156497775</v>
      </c>
      <c r="BE51" s="10">
        <v>21.804000902421912</v>
      </c>
      <c r="BF51" s="10">
        <v>21.586060223727603</v>
      </c>
      <c r="BG51" s="10">
        <v>22.527912931127489</v>
      </c>
      <c r="BH51" s="10">
        <v>17.922851198002697</v>
      </c>
      <c r="BI51" s="10">
        <v>19.790304467998801</v>
      </c>
      <c r="BJ51" s="10">
        <v>19.406163631545073</v>
      </c>
      <c r="BK51" s="45">
        <v>20.662819305151821</v>
      </c>
      <c r="BL51" s="10">
        <v>20.777154942240216</v>
      </c>
      <c r="BM51" s="10">
        <v>22.849045595956955</v>
      </c>
      <c r="BN51" s="10">
        <v>20.857835328726214</v>
      </c>
      <c r="BO51" s="10">
        <v>21.328156702749538</v>
      </c>
      <c r="BP51" s="10">
        <v>21.826831510852791</v>
      </c>
      <c r="BQ51" s="10">
        <v>13.657192098245774</v>
      </c>
      <c r="BR51" s="10">
        <v>15.503322127601374</v>
      </c>
      <c r="BS51" s="10">
        <v>19.952383657983034</v>
      </c>
      <c r="BT51" s="10">
        <v>15.771322213061303</v>
      </c>
      <c r="BU51" s="10">
        <v>18.61569005889293</v>
      </c>
      <c r="BV51" s="10">
        <v>20.780185186218038</v>
      </c>
      <c r="BW51" s="10">
        <v>18.838727830845379</v>
      </c>
      <c r="BX51" s="45">
        <v>21.710182697461349</v>
      </c>
      <c r="BY51" s="10">
        <v>22.466282515688718</v>
      </c>
      <c r="BZ51" s="10">
        <v>25.993493224984771</v>
      </c>
      <c r="CA51" s="10">
        <v>23.42179960772377</v>
      </c>
      <c r="CB51" s="10">
        <v>22.110697132849666</v>
      </c>
      <c r="CC51" s="10">
        <v>21.614997206661386</v>
      </c>
      <c r="CD51" s="10">
        <v>19.400044903084176</v>
      </c>
      <c r="CE51" s="10">
        <v>24.580905226218494</v>
      </c>
      <c r="CF51" s="10">
        <v>20.638350437462964</v>
      </c>
      <c r="CG51" s="10">
        <v>20.649216396606601</v>
      </c>
      <c r="CH51" s="10">
        <v>20.937876977472037</v>
      </c>
      <c r="CI51" s="10">
        <v>21.187730817614302</v>
      </c>
      <c r="CJ51" s="45">
        <v>23.6</v>
      </c>
    </row>
    <row r="52" spans="1:97" s="1" customFormat="1" ht="18" customHeight="1" thickBot="1" x14ac:dyDescent="0.3">
      <c r="A52" s="68" t="s">
        <v>147</v>
      </c>
      <c r="B52" s="41">
        <v>23.597496790014922</v>
      </c>
      <c r="C52" s="41">
        <v>25.625212450832809</v>
      </c>
      <c r="D52" s="41">
        <v>22.001017715595705</v>
      </c>
      <c r="E52" s="41">
        <v>24.084612161888458</v>
      </c>
      <c r="F52" s="41">
        <v>20.316733807288866</v>
      </c>
      <c r="G52" s="41">
        <v>25.095428052568142</v>
      </c>
      <c r="H52" s="41">
        <v>22.928266359745827</v>
      </c>
      <c r="I52" s="42">
        <v>22.88555944447516</v>
      </c>
      <c r="J52" s="43">
        <v>21.227811653444505</v>
      </c>
      <c r="K52" s="43">
        <v>21.170046579067101</v>
      </c>
      <c r="L52" s="9">
        <v>19.466765695468538</v>
      </c>
      <c r="M52" s="9">
        <v>21.215092671036853</v>
      </c>
      <c r="N52" s="9">
        <v>17.548601959523072</v>
      </c>
      <c r="O52" s="9">
        <v>20.642404395136253</v>
      </c>
      <c r="P52" s="12">
        <v>18.077242593762609</v>
      </c>
      <c r="Q52" s="9">
        <v>19.007952051134676</v>
      </c>
      <c r="R52" s="51">
        <f t="shared" si="44"/>
        <v>18.966132845353016</v>
      </c>
      <c r="S52" s="9">
        <v>18.924313639571352</v>
      </c>
      <c r="T52" s="9">
        <v>15.735736925284261</v>
      </c>
      <c r="U52" s="9">
        <v>16.89314455889772</v>
      </c>
      <c r="V52" s="12">
        <v>14.424444303612285</v>
      </c>
      <c r="W52" s="12">
        <v>17.890577100432274</v>
      </c>
      <c r="X52" s="12">
        <v>15.183818076358632</v>
      </c>
      <c r="Y52" s="9">
        <v>15.974339673120665</v>
      </c>
      <c r="Z52" s="9">
        <v>14.6209286971831</v>
      </c>
      <c r="AA52" s="9">
        <v>16.159850473944196</v>
      </c>
      <c r="AB52" s="9">
        <v>14.933332873639305</v>
      </c>
      <c r="AC52" s="9">
        <v>16.398152085072823</v>
      </c>
      <c r="AD52" s="9">
        <v>13.693563838475701</v>
      </c>
      <c r="AE52" s="9">
        <v>14.655090114930653</v>
      </c>
      <c r="AF52" s="9">
        <v>13.544693962507463</v>
      </c>
      <c r="AG52" s="9">
        <v>13.84070157545059</v>
      </c>
      <c r="AH52" s="9">
        <v>14.716851400233599</v>
      </c>
      <c r="AI52" s="9">
        <v>15.563498038941029</v>
      </c>
      <c r="AJ52" s="9">
        <v>14.676313210407791</v>
      </c>
      <c r="AK52" s="9">
        <v>15.309983833578041</v>
      </c>
      <c r="AL52" s="9">
        <v>13.633759063786133</v>
      </c>
      <c r="AM52" s="9">
        <v>16.876640000547855</v>
      </c>
      <c r="AN52" s="9">
        <v>13.325201854977639</v>
      </c>
      <c r="AO52" s="9">
        <v>15.703120098236933</v>
      </c>
      <c r="AP52" s="9">
        <v>13.660135248975433</v>
      </c>
      <c r="AQ52" s="9">
        <v>14.222830447206873</v>
      </c>
      <c r="AR52" s="9">
        <v>14.859037875863251</v>
      </c>
      <c r="AS52" s="9">
        <v>12.905153306499265</v>
      </c>
      <c r="AT52" s="9">
        <v>11.953565032950566</v>
      </c>
      <c r="AU52" s="9">
        <v>15.630597156335632</v>
      </c>
      <c r="AV52" s="9">
        <v>13.786066603319302</v>
      </c>
      <c r="AW52" s="9">
        <v>12.890044210214915</v>
      </c>
      <c r="AX52" s="51">
        <f t="shared" si="45"/>
        <v>12.819033453924693</v>
      </c>
      <c r="AY52" s="51">
        <f t="shared" si="46"/>
        <v>12.78352807577958</v>
      </c>
      <c r="AZ52" s="51">
        <f t="shared" si="47"/>
        <v>12.765775386707023</v>
      </c>
      <c r="BA52" s="34">
        <v>12.748022697634468</v>
      </c>
      <c r="BB52" s="9">
        <v>11.654305510241306</v>
      </c>
      <c r="BC52" s="9">
        <v>13.652212224877605</v>
      </c>
      <c r="BD52" s="9">
        <v>13.70012051868666</v>
      </c>
      <c r="BE52" s="9">
        <v>15.116124700615583</v>
      </c>
      <c r="BF52" s="9">
        <v>13.083522370634814</v>
      </c>
      <c r="BG52" s="9">
        <v>13.957533204154901</v>
      </c>
      <c r="BH52" s="9">
        <v>12.002595433578742</v>
      </c>
      <c r="BI52" s="9">
        <v>16.068708863666295</v>
      </c>
      <c r="BJ52" s="9">
        <v>12.533424177976505</v>
      </c>
      <c r="BK52" s="43">
        <v>16.521617318930819</v>
      </c>
      <c r="BL52" s="9">
        <v>14.455352865186571</v>
      </c>
      <c r="BM52" s="9">
        <v>15.009098301502807</v>
      </c>
      <c r="BN52" s="9">
        <v>14.829793103448278</v>
      </c>
      <c r="BO52" s="9">
        <v>16.480443053481697</v>
      </c>
      <c r="BP52" s="9">
        <v>13.924861231873606</v>
      </c>
      <c r="BQ52" s="9">
        <v>9.4593567209780804</v>
      </c>
      <c r="BR52" s="9">
        <v>11.295556841110155</v>
      </c>
      <c r="BS52" s="9">
        <v>14.255146497292071</v>
      </c>
      <c r="BT52" s="9">
        <v>13.011555566356412</v>
      </c>
      <c r="BU52" s="9">
        <v>11.559229196005861</v>
      </c>
      <c r="BV52" s="9">
        <v>13.784898426304975</v>
      </c>
      <c r="BW52" s="9">
        <v>13.119987093205495</v>
      </c>
      <c r="BX52" s="43">
        <v>13.220916287592265</v>
      </c>
      <c r="BY52" s="9">
        <v>15.829845457057489</v>
      </c>
      <c r="BZ52" s="9">
        <v>15.170367145552168</v>
      </c>
      <c r="CA52" s="9">
        <v>16.73871579359059</v>
      </c>
      <c r="CB52" s="9">
        <v>12.597921167262809</v>
      </c>
      <c r="CC52" s="9">
        <v>15.220676058146102</v>
      </c>
      <c r="CD52" s="9">
        <v>15.38133791612108</v>
      </c>
      <c r="CE52" s="9">
        <v>15.10822254397689</v>
      </c>
      <c r="CF52" s="9">
        <v>12.662063225789671</v>
      </c>
      <c r="CG52" s="9">
        <v>13.805231185416941</v>
      </c>
      <c r="CH52" s="9">
        <v>14.080345436536238</v>
      </c>
      <c r="CI52" s="9">
        <v>15.078429754124661</v>
      </c>
      <c r="CJ52" s="43">
        <v>15</v>
      </c>
    </row>
    <row r="53" spans="1:97" s="21" customFormat="1" ht="17.25" customHeight="1" thickBot="1" x14ac:dyDescent="0.3">
      <c r="A53" s="25" t="s">
        <v>148</v>
      </c>
      <c r="B53" s="4">
        <v>49.116109781118865</v>
      </c>
      <c r="C53" s="4">
        <v>48.845560029875799</v>
      </c>
      <c r="D53" s="4">
        <v>47.847593246434094</v>
      </c>
      <c r="E53" s="4">
        <v>47.606095681835143</v>
      </c>
      <c r="F53" s="4">
        <v>47.446237353069272</v>
      </c>
      <c r="G53" s="4">
        <v>48.503359648305292</v>
      </c>
      <c r="H53" s="4">
        <v>46.935922883562</v>
      </c>
      <c r="I53" s="4">
        <v>46.694163188782554</v>
      </c>
      <c r="J53" s="4">
        <v>45.940558301634013</v>
      </c>
      <c r="K53" s="4">
        <v>45.301140698581968</v>
      </c>
      <c r="L53" s="4">
        <v>43.89897719592782</v>
      </c>
      <c r="M53" s="4">
        <v>43.476205426757033</v>
      </c>
      <c r="N53" s="4">
        <v>42.600356608688827</v>
      </c>
      <c r="O53" s="4">
        <v>42.763676323942427</v>
      </c>
      <c r="P53" s="4">
        <v>41.370950642375973</v>
      </c>
      <c r="Q53" s="4">
        <v>40.460370977683056</v>
      </c>
      <c r="R53" s="51">
        <f>+(Q53+S53)/2</f>
        <v>39.969698592692311</v>
      </c>
      <c r="S53" s="4">
        <v>39.479026207701573</v>
      </c>
      <c r="T53" s="4">
        <v>37.237782991232358</v>
      </c>
      <c r="U53" s="4">
        <v>36.343210086315601</v>
      </c>
      <c r="V53" s="4">
        <v>36.742521751896057</v>
      </c>
      <c r="W53" s="4">
        <v>37.735173868861843</v>
      </c>
      <c r="X53" s="4">
        <v>36.15592291730966</v>
      </c>
      <c r="Y53" s="4">
        <v>35.752329667399721</v>
      </c>
      <c r="Z53" s="4">
        <v>35.987304275842078</v>
      </c>
      <c r="AA53" s="4">
        <v>36.1</v>
      </c>
      <c r="AB53" s="4">
        <v>34.6</v>
      </c>
      <c r="AC53" s="4">
        <v>36.5</v>
      </c>
      <c r="AD53" s="4">
        <v>35.799999999999997</v>
      </c>
      <c r="AE53" s="4">
        <v>33.700000000000003</v>
      </c>
      <c r="AF53" s="4">
        <v>34.1</v>
      </c>
      <c r="AG53" s="4">
        <v>34.5</v>
      </c>
      <c r="AH53" s="4">
        <v>34.299999999999997</v>
      </c>
      <c r="AI53" s="4">
        <v>34.200000000000003</v>
      </c>
      <c r="AJ53" s="4">
        <v>32.799999999999997</v>
      </c>
      <c r="AK53" s="4">
        <v>34.5</v>
      </c>
      <c r="AL53" s="4">
        <v>35.5</v>
      </c>
      <c r="AM53" s="4">
        <v>34.6</v>
      </c>
      <c r="AN53" s="4">
        <v>32</v>
      </c>
      <c r="AO53" s="4">
        <v>34.5</v>
      </c>
      <c r="AP53" s="4">
        <v>34.6</v>
      </c>
      <c r="AQ53" s="38">
        <v>33.5</v>
      </c>
      <c r="AR53" s="38">
        <v>32.799999999999997</v>
      </c>
      <c r="AS53" s="4">
        <v>33.1</v>
      </c>
      <c r="AT53" s="4">
        <v>33.6</v>
      </c>
      <c r="AU53" s="4">
        <v>34.299999999999997</v>
      </c>
      <c r="AV53" s="4">
        <v>31.9</v>
      </c>
      <c r="AW53" s="4">
        <v>33.1</v>
      </c>
      <c r="AX53" s="51">
        <f>+(AW53+BA53)/2</f>
        <v>33.25</v>
      </c>
      <c r="AY53" s="51">
        <f>+(AX53+BA53)/2</f>
        <v>33.325000000000003</v>
      </c>
      <c r="AZ53" s="51">
        <f>+(AY53+BA53)/2</f>
        <v>33.362499999999997</v>
      </c>
      <c r="BA53" s="32">
        <v>33.4</v>
      </c>
      <c r="BB53" s="4">
        <v>33.799999999999997</v>
      </c>
      <c r="BC53" s="4">
        <v>33.6</v>
      </c>
      <c r="BD53" s="4">
        <v>33.299999999999997</v>
      </c>
      <c r="BE53" s="4">
        <v>33.700000000000003</v>
      </c>
      <c r="BF53" s="4">
        <v>34.4</v>
      </c>
      <c r="BG53" s="4">
        <v>34.200000000000003</v>
      </c>
      <c r="BH53" s="4">
        <v>33.9</v>
      </c>
      <c r="BI53" s="4">
        <v>34.299999999999997</v>
      </c>
      <c r="BJ53" s="4">
        <v>34.299999999999997</v>
      </c>
      <c r="BK53" s="4">
        <v>35.299999999999997</v>
      </c>
      <c r="BL53" s="4">
        <v>35</v>
      </c>
      <c r="BM53" s="4">
        <v>34.5</v>
      </c>
      <c r="BN53" s="4">
        <v>35</v>
      </c>
      <c r="BO53" s="4">
        <v>35.9</v>
      </c>
      <c r="BP53" s="4">
        <v>35.700000000000003</v>
      </c>
      <c r="BQ53" s="4">
        <v>23.8</v>
      </c>
      <c r="BR53" s="4">
        <v>28.7</v>
      </c>
      <c r="BS53" s="4">
        <v>32.700000000000003</v>
      </c>
      <c r="BT53" s="4">
        <v>32.4</v>
      </c>
      <c r="BU53" s="4">
        <v>31.5</v>
      </c>
      <c r="BV53" s="4">
        <v>33.1</v>
      </c>
      <c r="BW53" s="4">
        <v>33.299999999999997</v>
      </c>
      <c r="BX53" s="4">
        <v>36</v>
      </c>
      <c r="BY53" s="4">
        <v>37.799999999999997</v>
      </c>
      <c r="BZ53" s="4">
        <v>37.4</v>
      </c>
      <c r="CA53" s="4">
        <v>35.5</v>
      </c>
      <c r="CB53" s="4">
        <v>36.700000000000003</v>
      </c>
      <c r="CC53" s="4">
        <v>36.799999999999997</v>
      </c>
      <c r="CD53" s="4">
        <v>35.799999999999997</v>
      </c>
      <c r="CE53" s="4">
        <v>35.700000000000003</v>
      </c>
      <c r="CF53" s="4">
        <v>35.700000000000003</v>
      </c>
      <c r="CG53" s="4">
        <v>36.4</v>
      </c>
      <c r="CH53" s="4">
        <v>36.700000000000003</v>
      </c>
      <c r="CI53" s="4">
        <v>36.1</v>
      </c>
      <c r="CJ53" s="4">
        <v>36.299999999999997</v>
      </c>
      <c r="CK53" s="19"/>
      <c r="CL53" s="19"/>
      <c r="CM53" s="19"/>
      <c r="CN53" s="19"/>
      <c r="CO53" s="19"/>
      <c r="CP53" s="19"/>
      <c r="CQ53" s="19"/>
      <c r="CR53" s="19"/>
      <c r="CS53" s="19"/>
    </row>
    <row r="54" spans="1:97" s="21" customFormat="1" ht="17.25" customHeight="1" thickBot="1" x14ac:dyDescent="0.3">
      <c r="A54" s="25" t="s">
        <v>149</v>
      </c>
      <c r="B54" s="5">
        <v>48.376859639960514</v>
      </c>
      <c r="C54" s="5">
        <v>48.314053148735553</v>
      </c>
      <c r="D54" s="5">
        <v>47.199861958111001</v>
      </c>
      <c r="E54" s="5">
        <v>47.005130355819588</v>
      </c>
      <c r="F54" s="5">
        <v>46.871439296655225</v>
      </c>
      <c r="G54" s="5">
        <v>47.939415514786248</v>
      </c>
      <c r="H54" s="5">
        <v>46.303142718385814</v>
      </c>
      <c r="I54" s="5">
        <v>46.18958715889783</v>
      </c>
      <c r="J54" s="5">
        <v>45.314959644780728</v>
      </c>
      <c r="K54" s="5">
        <v>44.744569018793101</v>
      </c>
      <c r="L54" s="5">
        <v>43.168572452820669</v>
      </c>
      <c r="M54" s="5">
        <v>42.748757643662678</v>
      </c>
      <c r="N54" s="5">
        <v>41.838235782146228</v>
      </c>
      <c r="O54" s="5">
        <v>41.895530682413529</v>
      </c>
      <c r="P54" s="5">
        <v>40.308858317655464</v>
      </c>
      <c r="Q54" s="5">
        <v>39.685258877019265</v>
      </c>
      <c r="R54" s="51">
        <f>+(Q54+S54)/2</f>
        <v>39.168072533412442</v>
      </c>
      <c r="S54" s="5">
        <v>38.650886189805625</v>
      </c>
      <c r="T54" s="5">
        <v>36.37698269710851</v>
      </c>
      <c r="U54" s="5">
        <v>35.566962828498582</v>
      </c>
      <c r="V54" s="5">
        <v>35.817332069772867</v>
      </c>
      <c r="W54" s="5">
        <v>36.926218563757153</v>
      </c>
      <c r="X54" s="5">
        <v>35.145864664711269</v>
      </c>
      <c r="Y54" s="5">
        <v>35.166598976358337</v>
      </c>
      <c r="Z54" s="5">
        <v>35.427262124498043</v>
      </c>
      <c r="AA54" s="5">
        <v>35.535697931019662</v>
      </c>
      <c r="AB54" s="5">
        <v>34.125428008250267</v>
      </c>
      <c r="AC54" s="5">
        <v>36.070615426138289</v>
      </c>
      <c r="AD54" s="5">
        <v>35.257432248756388</v>
      </c>
      <c r="AE54" s="5">
        <v>33.364557557385289</v>
      </c>
      <c r="AF54" s="5">
        <v>33.57166939015265</v>
      </c>
      <c r="AG54" s="5">
        <v>34.077148451741927</v>
      </c>
      <c r="AH54" s="5">
        <v>33.860503696681661</v>
      </c>
      <c r="AI54" s="5">
        <v>33.77955249616258</v>
      </c>
      <c r="AJ54" s="5">
        <v>32.473354074227515</v>
      </c>
      <c r="AK54" s="5">
        <v>33.751009651563649</v>
      </c>
      <c r="AL54" s="5">
        <v>34.601716755199504</v>
      </c>
      <c r="AM54" s="5">
        <v>34.096066230778256</v>
      </c>
      <c r="AN54" s="5">
        <v>31.5</v>
      </c>
      <c r="AO54" s="5">
        <v>34.090263899999997</v>
      </c>
      <c r="AP54" s="5">
        <v>34.346618320000488</v>
      </c>
      <c r="AQ54" s="5">
        <v>33.039814860066443</v>
      </c>
      <c r="AR54" s="5">
        <v>32.422002474790347</v>
      </c>
      <c r="AS54" s="5">
        <v>32.798639647554225</v>
      </c>
      <c r="AT54" s="5">
        <v>33.23638626125382</v>
      </c>
      <c r="AU54" s="5">
        <v>33.949035949356876</v>
      </c>
      <c r="AV54" s="5">
        <v>31.526550699629119</v>
      </c>
      <c r="AW54" s="5">
        <v>32.624039222967319</v>
      </c>
      <c r="AX54" s="51">
        <f>+(AW54+BA54)/2</f>
        <v>32.641139776031665</v>
      </c>
      <c r="AY54" s="51">
        <f>+(AX54+BA54)/2</f>
        <v>32.649690052563834</v>
      </c>
      <c r="AZ54" s="51">
        <f>+(AY54+BA54)/2</f>
        <v>32.653965190829922</v>
      </c>
      <c r="BA54" s="32">
        <v>32.658240329096003</v>
      </c>
      <c r="BB54" s="5">
        <v>33.359337218743008</v>
      </c>
      <c r="BC54" s="5">
        <v>33.239627331420621</v>
      </c>
      <c r="BD54" s="5">
        <v>33.042877909323792</v>
      </c>
      <c r="BE54" s="5">
        <v>33.5</v>
      </c>
      <c r="BF54" s="5">
        <v>34.159983991370311</v>
      </c>
      <c r="BG54" s="5">
        <v>33.940443572427569</v>
      </c>
      <c r="BH54" s="5">
        <v>32.841102277614624</v>
      </c>
      <c r="BI54" s="5">
        <v>34.038171776491808</v>
      </c>
      <c r="BJ54" s="5">
        <v>34.163137837212091</v>
      </c>
      <c r="BK54" s="5">
        <v>35.127152545412109</v>
      </c>
      <c r="BL54" s="5">
        <v>34.779635939615346</v>
      </c>
      <c r="BM54" s="5">
        <v>34.247282208500813</v>
      </c>
      <c r="BN54" s="5">
        <v>34.831484856125179</v>
      </c>
      <c r="BO54" s="5">
        <v>35.646444715521689</v>
      </c>
      <c r="BP54" s="5">
        <v>35.545112057612144</v>
      </c>
      <c r="BQ54" s="5">
        <v>23.648062231972585</v>
      </c>
      <c r="BR54" s="5">
        <v>28.560501573999009</v>
      </c>
      <c r="BS54" s="5">
        <v>32.541775596489039</v>
      </c>
      <c r="BT54" s="5">
        <v>32.172141338357193</v>
      </c>
      <c r="BU54" s="5">
        <v>30.46727588494193</v>
      </c>
      <c r="BV54" s="5">
        <v>32.944634556592248</v>
      </c>
      <c r="BW54" s="5">
        <v>33.102766540604499</v>
      </c>
      <c r="BX54" s="5">
        <v>35.769950903812479</v>
      </c>
      <c r="BY54" s="5">
        <v>37.584294149985205</v>
      </c>
      <c r="BZ54" s="5">
        <v>37.117995692433567</v>
      </c>
      <c r="CA54" s="5">
        <v>35.283906433394321</v>
      </c>
      <c r="CB54" s="5">
        <v>36.432815082411985</v>
      </c>
      <c r="CC54" s="5">
        <v>36.723239429221529</v>
      </c>
      <c r="CD54" s="5">
        <v>35.553685171208166</v>
      </c>
      <c r="CE54" s="5">
        <v>35.471365056038238</v>
      </c>
      <c r="CF54" s="5">
        <v>35.308652818583376</v>
      </c>
      <c r="CG54" s="5">
        <v>36.068710326806034</v>
      </c>
      <c r="CH54" s="5">
        <v>36.488130077891064</v>
      </c>
      <c r="CI54" s="5">
        <v>35.891219303137191</v>
      </c>
      <c r="CJ54" s="5">
        <v>35.89122530740994</v>
      </c>
      <c r="CK54" s="20"/>
      <c r="CL54" s="20"/>
      <c r="CM54" s="20"/>
      <c r="CN54" s="20"/>
      <c r="CO54" s="20"/>
      <c r="CP54" s="20"/>
      <c r="CQ54" s="20"/>
      <c r="CR54" s="20"/>
      <c r="CS54" s="20"/>
    </row>
    <row r="55" spans="1:97" s="21" customFormat="1" ht="17.25" customHeight="1" x14ac:dyDescent="0.25">
      <c r="A55" s="69"/>
      <c r="B55" s="70"/>
      <c r="C55" s="70"/>
      <c r="D55" s="70"/>
      <c r="E55" s="70"/>
      <c r="F55" s="70"/>
      <c r="G55" s="70"/>
      <c r="H55" s="70"/>
      <c r="I55" s="70"/>
      <c r="J55" s="70"/>
      <c r="K55" s="70"/>
      <c r="L55" s="70"/>
      <c r="M55" s="70"/>
      <c r="N55" s="70"/>
      <c r="O55" s="70"/>
      <c r="P55" s="70"/>
      <c r="Q55" s="70"/>
      <c r="R55" s="51"/>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51"/>
      <c r="AY55" s="51"/>
      <c r="AZ55" s="51"/>
      <c r="BA55" s="71"/>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0"/>
      <c r="CD55" s="70"/>
      <c r="CE55" s="70"/>
      <c r="CF55" s="70"/>
      <c r="CG55" s="70"/>
      <c r="CH55" s="70"/>
      <c r="CI55" s="70"/>
      <c r="CJ55" s="70"/>
      <c r="CK55" s="20"/>
      <c r="CL55" s="20"/>
      <c r="CM55" s="20"/>
      <c r="CN55" s="20"/>
      <c r="CO55" s="20"/>
      <c r="CP55" s="20"/>
      <c r="CQ55" s="20"/>
      <c r="CR55" s="20"/>
      <c r="CS55" s="20"/>
    </row>
    <row r="56" spans="1:97" s="21" customFormat="1" ht="17.25" customHeight="1" x14ac:dyDescent="0.25">
      <c r="A56" s="69"/>
      <c r="B56" s="70"/>
      <c r="C56" s="70"/>
      <c r="D56" s="70"/>
      <c r="E56" s="70"/>
      <c r="F56" s="70"/>
      <c r="G56" s="70"/>
      <c r="H56" s="70"/>
      <c r="I56" s="70"/>
      <c r="J56" s="70"/>
      <c r="K56" s="70"/>
      <c r="L56" s="70"/>
      <c r="M56" s="70"/>
      <c r="N56" s="70"/>
      <c r="O56" s="70"/>
      <c r="P56" s="70"/>
      <c r="Q56" s="70"/>
      <c r="R56" s="51"/>
      <c r="S56" s="70"/>
      <c r="T56" s="70"/>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0"/>
      <c r="AV56" s="70"/>
      <c r="AW56" s="70"/>
      <c r="AX56" s="51"/>
      <c r="AY56" s="51"/>
      <c r="AZ56" s="51"/>
      <c r="BA56" s="71"/>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0"/>
      <c r="BZ56" s="70"/>
      <c r="CA56" s="70"/>
      <c r="CB56" s="70"/>
      <c r="CC56" s="70"/>
      <c r="CD56" s="70"/>
      <c r="CE56" s="70"/>
      <c r="CF56" s="70"/>
      <c r="CG56" s="70"/>
      <c r="CH56" s="70"/>
      <c r="CI56" s="70"/>
      <c r="CJ56" s="70"/>
      <c r="CK56" s="20"/>
      <c r="CL56" s="20"/>
      <c r="CM56" s="20"/>
      <c r="CN56" s="20"/>
      <c r="CO56" s="20"/>
      <c r="CP56" s="20"/>
      <c r="CQ56" s="20"/>
      <c r="CR56" s="20"/>
      <c r="CS56" s="20"/>
    </row>
    <row r="57" spans="1:97" s="21" customFormat="1" ht="17.25" customHeight="1" x14ac:dyDescent="0.25">
      <c r="A57" s="6"/>
      <c r="B57" s="40"/>
      <c r="C57" s="40"/>
      <c r="D57" s="40"/>
      <c r="E57" s="40"/>
      <c r="F57" s="40"/>
      <c r="G57" s="40"/>
      <c r="H57" s="40"/>
      <c r="I57" s="40"/>
      <c r="J57" s="40"/>
      <c r="K57" s="40"/>
      <c r="L57" s="7"/>
      <c r="M57" s="7"/>
      <c r="N57" s="7"/>
      <c r="O57" s="7"/>
      <c r="P57" s="13"/>
      <c r="Q57" s="7"/>
      <c r="R57" s="8"/>
      <c r="S57" s="7"/>
      <c r="T57" s="7"/>
      <c r="U57" s="7"/>
      <c r="V57" s="13"/>
      <c r="W57" s="13"/>
      <c r="X57" s="7"/>
      <c r="Y57" s="7"/>
      <c r="Z57" s="7"/>
      <c r="AA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40"/>
      <c r="BL57" s="7"/>
      <c r="BM57" s="7"/>
      <c r="BN57" s="7"/>
      <c r="BO57" s="7"/>
      <c r="BP57" s="7"/>
      <c r="BQ57" s="7"/>
      <c r="BR57" s="7"/>
      <c r="BS57" s="7"/>
      <c r="BT57" s="7"/>
      <c r="BU57" s="7"/>
      <c r="BV57" s="7"/>
      <c r="BW57" s="7"/>
      <c r="BX57" s="7"/>
      <c r="BY57" s="7"/>
      <c r="BZ57" s="7"/>
      <c r="CA57" s="7"/>
      <c r="CB57" s="7"/>
      <c r="CC57" s="7"/>
      <c r="CD57" s="7"/>
      <c r="CE57" s="7"/>
      <c r="CF57" s="7"/>
      <c r="CG57" s="7"/>
      <c r="CH57" s="7"/>
      <c r="CI57" s="7"/>
      <c r="CJ57" s="40"/>
    </row>
    <row r="58" spans="1:97" s="21" customFormat="1" ht="17.25" customHeight="1" x14ac:dyDescent="0.25">
      <c r="A58" s="6"/>
      <c r="B58" s="40"/>
      <c r="C58" s="40"/>
      <c r="D58" s="40"/>
      <c r="E58" s="40"/>
      <c r="F58" s="40"/>
      <c r="G58" s="40"/>
      <c r="H58" s="40"/>
      <c r="I58" s="40"/>
      <c r="J58" s="40"/>
      <c r="K58" s="40"/>
      <c r="L58" s="7"/>
      <c r="M58" s="7"/>
      <c r="N58" s="7"/>
      <c r="O58" s="7"/>
      <c r="P58" s="13"/>
      <c r="Q58" s="7"/>
      <c r="R58" s="8"/>
      <c r="S58" s="7"/>
      <c r="T58" s="7"/>
      <c r="U58" s="7"/>
      <c r="V58" s="13"/>
      <c r="W58" s="13"/>
      <c r="X58" s="7"/>
      <c r="Y58" s="7"/>
      <c r="Z58" s="7"/>
      <c r="AA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40"/>
      <c r="BL58" s="7"/>
      <c r="BM58" s="7"/>
      <c r="BN58" s="7"/>
      <c r="BO58" s="7"/>
      <c r="BP58" s="7"/>
      <c r="BQ58" s="7"/>
      <c r="BR58" s="7"/>
      <c r="BS58" s="7"/>
      <c r="BT58" s="7"/>
      <c r="BU58" s="7"/>
      <c r="BV58" s="7"/>
      <c r="BW58" s="7"/>
      <c r="BX58" s="7"/>
      <c r="BY58" s="7"/>
      <c r="BZ58" s="7"/>
      <c r="CA58" s="7"/>
      <c r="CB58" s="7"/>
      <c r="CC58" s="7"/>
      <c r="CD58" s="7"/>
      <c r="CE58" s="7"/>
      <c r="CF58" s="7"/>
      <c r="CG58" s="7"/>
      <c r="CH58" s="7"/>
      <c r="CI58" s="7"/>
      <c r="CJ58" s="40"/>
    </row>
    <row r="59" spans="1:97" s="17" customFormat="1" ht="18.75" customHeight="1" x14ac:dyDescent="0.25">
      <c r="A59" s="14" t="s">
        <v>1</v>
      </c>
      <c r="B59" s="45"/>
      <c r="C59" s="45"/>
      <c r="D59" s="45"/>
      <c r="E59" s="45"/>
      <c r="F59" s="45"/>
      <c r="G59" s="45"/>
      <c r="H59" s="45"/>
      <c r="I59" s="45"/>
      <c r="J59" s="45"/>
      <c r="K59" s="45"/>
      <c r="L59" s="10"/>
      <c r="M59" s="10"/>
      <c r="N59" s="10"/>
      <c r="O59" s="10"/>
      <c r="P59" s="10"/>
      <c r="Q59" s="10"/>
      <c r="R59" s="10"/>
      <c r="S59" s="10"/>
      <c r="T59" s="10"/>
      <c r="U59" s="10"/>
      <c r="V59" s="10"/>
      <c r="W59" s="11"/>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45"/>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45"/>
    </row>
    <row r="60" spans="1:97" s="27" customFormat="1" ht="18" customHeight="1" x14ac:dyDescent="0.25">
      <c r="A60" s="66" t="s">
        <v>4</v>
      </c>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K60" s="37"/>
    </row>
    <row r="61" spans="1:97" s="27" customFormat="1" ht="18" customHeight="1" x14ac:dyDescent="0.25">
      <c r="A61" s="67" t="s">
        <v>5</v>
      </c>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37"/>
      <c r="AT61" s="37"/>
      <c r="BK61" s="37"/>
    </row>
    <row r="62" spans="1:97" s="37" customFormat="1" ht="18" customHeight="1" x14ac:dyDescent="0.25">
      <c r="A62" s="67" t="s">
        <v>6</v>
      </c>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row>
    <row r="63" spans="1:97" s="37" customFormat="1" ht="18" customHeight="1" x14ac:dyDescent="0.25">
      <c r="A63" s="67" t="s">
        <v>7</v>
      </c>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row>
    <row r="64" spans="1:97" s="17" customFormat="1" ht="18" customHeight="1" x14ac:dyDescent="0.25">
      <c r="A64" s="63" t="s">
        <v>9</v>
      </c>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35"/>
      <c r="BK64" s="47"/>
      <c r="CJ64" s="37"/>
    </row>
    <row r="65" spans="1:88" s="17" customFormat="1" ht="18" customHeight="1" x14ac:dyDescent="0.25">
      <c r="A65" s="63" t="s">
        <v>10</v>
      </c>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35"/>
      <c r="BK65" s="37"/>
      <c r="CJ65" s="37"/>
    </row>
    <row r="66" spans="1:88" s="17" customFormat="1" ht="18" customHeight="1" x14ac:dyDescent="0.25">
      <c r="A66" s="64" t="s">
        <v>3</v>
      </c>
      <c r="B66" s="64"/>
      <c r="C66" s="64"/>
      <c r="D66" s="64"/>
      <c r="E66" s="64"/>
      <c r="F66" s="64"/>
      <c r="G66" s="64"/>
      <c r="H66" s="64"/>
      <c r="I66" s="64"/>
      <c r="J66" s="64"/>
      <c r="K66" s="64"/>
      <c r="L66" s="65"/>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AQ66" s="65"/>
      <c r="AR66" s="65"/>
      <c r="AS66" s="65"/>
      <c r="AT66" s="65"/>
      <c r="AU66" s="65"/>
      <c r="AV66" s="65"/>
      <c r="AW66" s="65"/>
      <c r="AX66" s="65"/>
      <c r="AY66" s="65"/>
      <c r="AZ66" s="65"/>
      <c r="BA66" s="65"/>
      <c r="BB66" s="65"/>
      <c r="BC66" s="36"/>
      <c r="BK66" s="37"/>
      <c r="CJ66" s="37"/>
    </row>
    <row r="67" spans="1:88" s="17" customFormat="1" ht="30" customHeight="1" x14ac:dyDescent="0.25">
      <c r="A67" s="62" t="s">
        <v>11</v>
      </c>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49"/>
      <c r="BL67" s="3"/>
      <c r="BM67" s="3"/>
      <c r="BN67" s="3"/>
      <c r="BO67" s="3"/>
      <c r="BP67" s="3"/>
      <c r="BQ67" s="3"/>
      <c r="BR67" s="3"/>
      <c r="BS67" s="3"/>
      <c r="BT67" s="3"/>
      <c r="BU67" s="3"/>
      <c r="BV67" s="3"/>
      <c r="BW67" s="3"/>
      <c r="BX67" s="3"/>
      <c r="BY67" s="3"/>
      <c r="BZ67" s="3"/>
      <c r="CA67" s="3"/>
      <c r="CB67" s="3"/>
      <c r="CC67" s="3"/>
      <c r="CD67" s="3"/>
      <c r="CE67" s="3"/>
      <c r="CF67" s="3"/>
      <c r="CG67" s="3"/>
      <c r="CH67" s="3"/>
      <c r="CI67" s="3"/>
      <c r="CJ67" s="49"/>
    </row>
    <row r="68" spans="1:88" x14ac:dyDescent="0.25">
      <c r="Q68" s="16"/>
      <c r="R68" s="16"/>
      <c r="S68" s="16"/>
    </row>
  </sheetData>
  <mergeCells count="11">
    <mergeCell ref="A1:AE1"/>
    <mergeCell ref="A2:AE2"/>
    <mergeCell ref="A3:AE3"/>
    <mergeCell ref="A67:AE67"/>
    <mergeCell ref="A65:BB65"/>
    <mergeCell ref="A66:BB66"/>
    <mergeCell ref="A64:BB64"/>
    <mergeCell ref="A60:BD60"/>
    <mergeCell ref="A61:AR61"/>
    <mergeCell ref="A62:AR62"/>
    <mergeCell ref="A63:AR63"/>
  </mergeCells>
  <printOptions horizontalCentered="1" verticalCentered="1"/>
  <pageMargins left="0.70866141732283472" right="0.70866141732283472" top="0.74803149606299213" bottom="0.74803149606299213" header="0.31496062992125984" footer="0.31496062992125984"/>
  <pageSetup paperSize="9" scale="1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BEL</vt:lpstr>
      <vt:lpstr>BEL!Área_de_impresión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VAXT</dc:creator>
  <cp:lastModifiedBy>WGekko</cp:lastModifiedBy>
  <cp:lastPrinted>2014-09-16T14:45:35Z</cp:lastPrinted>
  <dcterms:created xsi:type="dcterms:W3CDTF">2007-01-05T16:07:33Z</dcterms:created>
  <dcterms:modified xsi:type="dcterms:W3CDTF">2025-11-23T01:50:18Z</dcterms:modified>
</cp:coreProperties>
</file>