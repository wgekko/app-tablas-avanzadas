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tablas-avanzadas\datos\"/>
    </mc:Choice>
  </mc:AlternateContent>
  <bookViews>
    <workbookView xWindow="0" yWindow="0" windowWidth="21570" windowHeight="8160" tabRatio="563"/>
  </bookViews>
  <sheets>
    <sheet name="BEL" sheetId="1" r:id="rId1"/>
  </sheets>
  <externalReferences>
    <externalReference r:id="rId2"/>
    <externalReference r:id="rId3"/>
  </externalReferences>
  <definedNames>
    <definedName name="_cd1" hidden="1">{"'cua 42'!$A$1:$O$40"}</definedName>
    <definedName name="_Key1" hidden="1">'[1]dep pre'!#REF!</definedName>
    <definedName name="_Order1" hidden="1">255</definedName>
    <definedName name="_Parse_In" hidden="1">'[1]dep pre'!#REF!</definedName>
    <definedName name="_Parse_Out" hidden="1">'[1]dep pre'!#REF!</definedName>
    <definedName name="_Sort" hidden="1">'[1]dep pre'!#REF!</definedName>
    <definedName name="AA" hidden="1">{"'cua 42'!$A$1:$O$40"}</definedName>
    <definedName name="ab" hidden="1">{"'cua 42'!$A$1:$O$40"}</definedName>
    <definedName name="affff" hidden="1">{"'cua 42'!$A$1:$O$40"}</definedName>
    <definedName name="_xlnm.Print_Area" localSheetId="0">BEL!$A$1:$BD$42</definedName>
    <definedName name="BB" hidden="1">{"'cua 42'!$A$1:$O$40"}</definedName>
    <definedName name="cc" hidden="1">{"'cua 42'!$A$1:$O$40"}</definedName>
    <definedName name="dd" hidden="1">{"'cua 42'!$A$1:$O$40"}</definedName>
    <definedName name="dfg" hidden="1">{"'cua 42'!$A$1:$O$40"}</definedName>
    <definedName name="dfgh" hidden="1">{"'cua 42'!$A$1:$O$40"}</definedName>
    <definedName name="fffffffffff" hidden="1">{"'tasa de salida'!$A$1:$G$48"}</definedName>
    <definedName name="gu" hidden="1">'[2]dep pre'!#REF!</definedName>
    <definedName name="hh" hidden="1">{"'cuadro 18 '!$A$1:$L$34"}</definedName>
    <definedName name="hllliun" hidden="1">'[2]dep pre'!#REF!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jjjjjjjjjjj" hidden="1">{"'cua 42'!$A$1:$O$40"}</definedName>
    <definedName name="jppmpñ" hidden="1">{"'cua 42'!$A$1:$O$40"}</definedName>
    <definedName name="lkjp" hidden="1">'[2]dep pre'!#REF!</definedName>
    <definedName name="nnnnnnnnnnn" hidden="1">{"'cua 42'!$A$1:$O$40"}</definedName>
    <definedName name="santiago" hidden="1">{"'cua 42'!$A$1:$O$40"}</definedName>
    <definedName name="sertes" hidden="1">{"'cua 42'!$A$1:$O$40"}</definedName>
    <definedName name="sfg" hidden="1">'[2]dep pre'!#REF!</definedName>
    <definedName name="shit" hidden="1">{"'cua 42'!$A$1:$O$40"}</definedName>
    <definedName name="ssssss" hidden="1">{"'tasa de salida'!$A$1:$G$48"}</definedName>
    <definedName name="tyurt" hidden="1">{"'cua 42'!$A$1:$O$40"}</definedName>
    <definedName name="yuetyy" hidden="1">{"'cua 42'!$A$1:$O$40"}</definedName>
  </definedNames>
  <calcPr calcId="162913"/>
</workbook>
</file>

<file path=xl/calcChain.xml><?xml version="1.0" encoding="utf-8"?>
<calcChain xmlns="http://schemas.openxmlformats.org/spreadsheetml/2006/main">
  <c r="CH26" i="1" l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CI26" i="1"/>
  <c r="CJ26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14" i="1"/>
  <c r="B8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X31" i="1" l="1"/>
  <c r="AY31" i="1" s="1"/>
  <c r="AZ31" i="1" s="1"/>
  <c r="AX30" i="1"/>
  <c r="AY30" i="1" s="1"/>
  <c r="AZ30" i="1" s="1"/>
  <c r="AX29" i="1"/>
  <c r="AY29" i="1" s="1"/>
  <c r="AZ29" i="1" s="1"/>
  <c r="AX28" i="1"/>
  <c r="AY28" i="1" s="1"/>
  <c r="AZ28" i="1" s="1"/>
  <c r="AX27" i="1"/>
  <c r="AX25" i="1"/>
  <c r="AY25" i="1" s="1"/>
  <c r="AZ25" i="1" s="1"/>
  <c r="AX24" i="1"/>
  <c r="AY24" i="1" s="1"/>
  <c r="AZ24" i="1" s="1"/>
  <c r="AX23" i="1"/>
  <c r="AY23" i="1" s="1"/>
  <c r="AZ23" i="1" s="1"/>
  <c r="AX22" i="1"/>
  <c r="AY22" i="1" s="1"/>
  <c r="AZ22" i="1" s="1"/>
  <c r="AX21" i="1"/>
  <c r="AY21" i="1" s="1"/>
  <c r="AZ21" i="1" s="1"/>
  <c r="AX20" i="1"/>
  <c r="AX18" i="1"/>
  <c r="AY18" i="1" s="1"/>
  <c r="AZ18" i="1" s="1"/>
  <c r="AX17" i="1"/>
  <c r="AY17" i="1" s="1"/>
  <c r="AZ17" i="1" s="1"/>
  <c r="AX16" i="1"/>
  <c r="AY16" i="1" s="1"/>
  <c r="AZ16" i="1" s="1"/>
  <c r="AX15" i="1"/>
  <c r="AX13" i="1"/>
  <c r="AY13" i="1" s="1"/>
  <c r="AZ13" i="1" s="1"/>
  <c r="AX12" i="1"/>
  <c r="AY12" i="1" s="1"/>
  <c r="AZ12" i="1" s="1"/>
  <c r="AX11" i="1"/>
  <c r="AY11" i="1" s="1"/>
  <c r="AZ11" i="1" s="1"/>
  <c r="AX10" i="1"/>
  <c r="AY10" i="1" s="1"/>
  <c r="AZ10" i="1" s="1"/>
  <c r="AX9" i="1"/>
  <c r="AX7" i="1"/>
  <c r="AY7" i="1" s="1"/>
  <c r="AZ7" i="1" s="1"/>
  <c r="AX6" i="1"/>
  <c r="AX32" i="1"/>
  <c r="AY32" i="1" s="1"/>
  <c r="AZ32" i="1" s="1"/>
  <c r="R31" i="1"/>
  <c r="R30" i="1"/>
  <c r="R29" i="1"/>
  <c r="R28" i="1"/>
  <c r="R27" i="1"/>
  <c r="R25" i="1"/>
  <c r="R24" i="1"/>
  <c r="R23" i="1"/>
  <c r="R22" i="1"/>
  <c r="R21" i="1"/>
  <c r="R20" i="1"/>
  <c r="R18" i="1"/>
  <c r="R17" i="1"/>
  <c r="R16" i="1"/>
  <c r="R15" i="1"/>
  <c r="R14" i="1" s="1"/>
  <c r="R13" i="1"/>
  <c r="R12" i="1"/>
  <c r="R11" i="1"/>
  <c r="R10" i="1"/>
  <c r="R9" i="1"/>
  <c r="R7" i="1"/>
  <c r="R6" i="1"/>
  <c r="R32" i="1"/>
  <c r="R5" i="1" l="1"/>
  <c r="AY27" i="1"/>
  <c r="AX26" i="1"/>
  <c r="R26" i="1"/>
  <c r="AY9" i="1"/>
  <c r="AX8" i="1"/>
  <c r="AY15" i="1"/>
  <c r="AX14" i="1"/>
  <c r="AY6" i="1"/>
  <c r="AX5" i="1"/>
  <c r="R8" i="1"/>
  <c r="AY20" i="1"/>
  <c r="AX19" i="1"/>
  <c r="R19" i="1"/>
  <c r="AZ15" i="1" l="1"/>
  <c r="AZ14" i="1" s="1"/>
  <c r="AY14" i="1"/>
  <c r="AZ9" i="1"/>
  <c r="AZ8" i="1" s="1"/>
  <c r="AY8" i="1"/>
  <c r="AZ20" i="1"/>
  <c r="AZ19" i="1" s="1"/>
  <c r="AY19" i="1"/>
  <c r="AZ27" i="1"/>
  <c r="AZ26" i="1" s="1"/>
  <c r="AY26" i="1"/>
  <c r="AZ6" i="1"/>
  <c r="AZ5" i="1" s="1"/>
  <c r="AY5" i="1"/>
</calcChain>
</file>

<file path=xl/sharedStrings.xml><?xml version="1.0" encoding="utf-8"?>
<sst xmlns="http://schemas.openxmlformats.org/spreadsheetml/2006/main" count="125" uniqueCount="125">
  <si>
    <t>Mercado de trabajo - EPH</t>
  </si>
  <si>
    <t>Total de aglomerados relevados</t>
  </si>
  <si>
    <t>Notas:</t>
  </si>
  <si>
    <t>1.El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</si>
  <si>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</si>
  <si>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</si>
  <si>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4. Información no disponible</t>
  </si>
  <si>
    <r>
      <t xml:space="preserve">Tasa de desocupación </t>
    </r>
    <r>
      <rPr>
        <b/>
        <sz val="14"/>
        <color indexed="9"/>
        <rFont val="Arial"/>
        <family val="2"/>
      </rPr>
      <t>según sexo, grupos de edad, posición en el hogar, nivel educativo y quintil de ingreso per cápita familiar</t>
    </r>
  </si>
  <si>
    <t>Fuente: STEySS – Dirección General de Estudios y Estadísticas Laborales, en base a EPH (INDEC).</t>
  </si>
  <si>
    <t>Categoría</t>
  </si>
  <si>
    <t>3°Trim-24</t>
  </si>
  <si>
    <t>4°Trim-24</t>
  </si>
  <si>
    <t>1°Trim-25</t>
  </si>
  <si>
    <t>2°Trim-24</t>
  </si>
  <si>
    <t>1°Trim-24</t>
  </si>
  <si>
    <t>4°Trim-23</t>
  </si>
  <si>
    <t>3°Trim-23</t>
  </si>
  <si>
    <t>2°Trim-23</t>
  </si>
  <si>
    <t>1°Trim-23</t>
  </si>
  <si>
    <t>4°Trim-22</t>
  </si>
  <si>
    <t>3°Trim-22</t>
  </si>
  <si>
    <t>2°Trim-22</t>
  </si>
  <si>
    <t>1°Trim-22</t>
  </si>
  <si>
    <t>4°Trim-21</t>
  </si>
  <si>
    <t>3°Trim-21</t>
  </si>
  <si>
    <t>2°Trim-21</t>
  </si>
  <si>
    <t>1°Trim-21</t>
  </si>
  <si>
    <t>4°Trim-20</t>
  </si>
  <si>
    <t>3°Trim-20</t>
  </si>
  <si>
    <t>2°Trim-20</t>
  </si>
  <si>
    <t>1°Trim-20</t>
  </si>
  <si>
    <t>4°Trim-19</t>
  </si>
  <si>
    <t>3°Trim-19</t>
  </si>
  <si>
    <t>2°Trim-19</t>
  </si>
  <si>
    <t>1°Trim-19</t>
  </si>
  <si>
    <t>4°Trim-18</t>
  </si>
  <si>
    <t>3°Trim-18</t>
  </si>
  <si>
    <t>2°Trim-18</t>
  </si>
  <si>
    <t>1°Trim-18</t>
  </si>
  <si>
    <t>4°Trim-17</t>
  </si>
  <si>
    <t>3°Trim-17</t>
  </si>
  <si>
    <t>2°Trim-17</t>
  </si>
  <si>
    <t>1°Trim-17</t>
  </si>
  <si>
    <t>4°Trim-16</t>
  </si>
  <si>
    <t>3°Trim-16</t>
  </si>
  <si>
    <t>2°Trim-16</t>
  </si>
  <si>
    <t>1°Trim-16</t>
  </si>
  <si>
    <t>4°Trim-15</t>
  </si>
  <si>
    <t>3°Trim-15</t>
  </si>
  <si>
    <t>2°Trim-15</t>
  </si>
  <si>
    <t>1°Trim-15</t>
  </si>
  <si>
    <t>4°Trim-14</t>
  </si>
  <si>
    <t>3°Trim-14</t>
  </si>
  <si>
    <t>2°Trim-14</t>
  </si>
  <si>
    <t>1°Trim-14</t>
  </si>
  <si>
    <t>4°Trim-13</t>
  </si>
  <si>
    <t>3°Trim-13</t>
  </si>
  <si>
    <t>2°Trim-13</t>
  </si>
  <si>
    <t>1°Trim-13</t>
  </si>
  <si>
    <t>4°Trim-12</t>
  </si>
  <si>
    <t>3°Trim-12</t>
  </si>
  <si>
    <t>2°Trim-12</t>
  </si>
  <si>
    <t>1°Trim-12</t>
  </si>
  <si>
    <t>4°Trim-11</t>
  </si>
  <si>
    <t>3°Trim-11</t>
  </si>
  <si>
    <t>2°Trim-11</t>
  </si>
  <si>
    <t>1°Trim-11</t>
  </si>
  <si>
    <t>4°Trim-10</t>
  </si>
  <si>
    <t xml:space="preserve">3°Trim-10 </t>
  </si>
  <si>
    <t>2°Trim-10</t>
  </si>
  <si>
    <t>1°Trim-10</t>
  </si>
  <si>
    <t>4°Trim-09</t>
  </si>
  <si>
    <t>3°Trim-09</t>
  </si>
  <si>
    <t>2°Trim-09</t>
  </si>
  <si>
    <t>1°Trim-09</t>
  </si>
  <si>
    <t>4°Trim-08</t>
  </si>
  <si>
    <t>3°Trim-08</t>
  </si>
  <si>
    <t>2°Trim-08</t>
  </si>
  <si>
    <t>1°Trim-08</t>
  </si>
  <si>
    <t xml:space="preserve">4°Trim-07 </t>
  </si>
  <si>
    <t xml:space="preserve">3°Trim-07 </t>
  </si>
  <si>
    <t xml:space="preserve">2°Trim-07 </t>
  </si>
  <si>
    <t>1°Trim-07</t>
  </si>
  <si>
    <t>4°Trim-06</t>
  </si>
  <si>
    <t>3°Trim-06</t>
  </si>
  <si>
    <t>2°Trim-06</t>
  </si>
  <si>
    <t>1°Trim-06</t>
  </si>
  <si>
    <t>4°Trim-05</t>
  </si>
  <si>
    <t>3°Trim-05</t>
  </si>
  <si>
    <t>2°Trim-05</t>
  </si>
  <si>
    <t>1°Trim-05</t>
  </si>
  <si>
    <t>4°Trim-04</t>
  </si>
  <si>
    <t>3°Trim-04</t>
  </si>
  <si>
    <t>2°Trim-04</t>
  </si>
  <si>
    <t>1°Trim-04</t>
  </si>
  <si>
    <t>4°Trim-03</t>
  </si>
  <si>
    <t>3°Trim-03</t>
  </si>
  <si>
    <t>1-Sexo</t>
  </si>
  <si>
    <t>1-Varones</t>
  </si>
  <si>
    <t>1-Mujeres</t>
  </si>
  <si>
    <t>2-Grupos de edad</t>
  </si>
  <si>
    <t>2-Grupos de edad-18 a 24 años</t>
  </si>
  <si>
    <t>2-Grupos de edad-Entre 25 y 34 años</t>
  </si>
  <si>
    <t>2-Grupos de edad-Entre 35 y 49 años</t>
  </si>
  <si>
    <t>2-Grupos de edad-Entre 50 y 59 años</t>
  </si>
  <si>
    <t>2-Grupos de edad-60 años y más</t>
  </si>
  <si>
    <t>3-Posición en el hogar</t>
  </si>
  <si>
    <t>3-Posición en el hogar-Jefe</t>
  </si>
  <si>
    <t>3-Posición en el hogar-Cónyuge</t>
  </si>
  <si>
    <t>3-Posición en el hogar-Hijo</t>
  </si>
  <si>
    <t>3-Posición en el hogar-Otros</t>
  </si>
  <si>
    <t>4-Nivel educativo</t>
  </si>
  <si>
    <t>4-Nivel educativo-Hasta primario incompleto</t>
  </si>
  <si>
    <t>4-Nivel educativo-Primario completo</t>
  </si>
  <si>
    <t>4-Nivel educativo-Secundario incompleto</t>
  </si>
  <si>
    <t>4-Nivel educativo-Secundario completo</t>
  </si>
  <si>
    <t>4-Nivel educativo-Terc/univ incompleto</t>
  </si>
  <si>
    <t>4-Nivel educativo-Terc/univ completo</t>
  </si>
  <si>
    <t>5-Ingreso per cápita familiar</t>
  </si>
  <si>
    <t>5-Ingreso per cápita familiar-1° quintil</t>
  </si>
  <si>
    <t>5-Ingreso per cápita familiar-2° quintil</t>
  </si>
  <si>
    <t>5-Ingreso per cápita familiar-3° quintil</t>
  </si>
  <si>
    <t>5-Ingreso per cápita familiar-4° quintil</t>
  </si>
  <si>
    <t>5-Ingreso per cápita familiar-5° quintil</t>
  </si>
  <si>
    <t>6-Total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</si>
</sst>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#.##000"/>
    <numFmt numFmtId="168" formatCode="\$#,#00"/>
    <numFmt numFmtId="169" formatCode="#,#00"/>
    <numFmt numFmtId="170" formatCode="#.##0,"/>
    <numFmt numFmtId="171" formatCode="\$#,"/>
    <numFmt numFmtId="172" formatCode="_ [$€-2]\ * #,##0.00_ ;_ [$€-2]\ * \-#,##0.00_ ;_ [$€-2]\ * &quot;-&quot;??_ "/>
    <numFmt numFmtId="173" formatCode="&quot;$&quot;#,##0\ ;\(&quot;$&quot;#,##0\)"/>
  </numFmts>
  <fonts count="4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0"/>
      <color indexed="23"/>
      <name val="Arial"/>
      <family val="2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6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Arial"/>
      <family val="2"/>
    </font>
    <font>
      <sz val="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sz val="10"/>
      <color theme="4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>
      <protection locked="0"/>
    </xf>
    <xf numFmtId="0" fontId="8" fillId="0" borderId="0">
      <protection locked="0"/>
    </xf>
    <xf numFmtId="0" fontId="9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3" applyNumberFormat="0" applyFill="0" applyAlignment="0" applyProtection="0"/>
    <xf numFmtId="0" fontId="13" fillId="21" borderId="2" applyNumberFormat="0" applyAlignment="0" applyProtection="0"/>
    <xf numFmtId="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6" fillId="7" borderId="1" applyNumberFormat="0" applyAlignment="0" applyProtection="0"/>
    <xf numFmtId="0" fontId="17" fillId="0" borderId="0"/>
    <xf numFmtId="172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protection locked="0"/>
    </xf>
    <xf numFmtId="169" fontId="19" fillId="0" borderId="0">
      <protection locked="0"/>
    </xf>
    <xf numFmtId="2" fontId="14" fillId="0" borderId="0" applyFont="0" applyFill="0" applyBorder="0" applyAlignment="0" applyProtection="0"/>
    <xf numFmtId="0" fontId="20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7" borderId="1" applyNumberFormat="0" applyAlignment="0" applyProtection="0"/>
    <xf numFmtId="0" fontId="26" fillId="0" borderId="3" applyNumberFormat="0" applyFill="0" applyAlignment="0" applyProtection="0"/>
    <xf numFmtId="164" fontId="1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8" fontId="19" fillId="0" borderId="0">
      <protection locked="0"/>
    </xf>
    <xf numFmtId="171" fontId="19" fillId="0" borderId="0">
      <protection locked="0"/>
    </xf>
    <xf numFmtId="0" fontId="27" fillId="22" borderId="0" applyNumberFormat="0" applyBorder="0" applyAlignment="0" applyProtection="0"/>
    <xf numFmtId="0" fontId="39" fillId="0" borderId="0"/>
    <xf numFmtId="0" fontId="28" fillId="0" borderId="0"/>
    <xf numFmtId="0" fontId="1" fillId="23" borderId="5" applyNumberFormat="0" applyFont="0" applyAlignment="0" applyProtection="0"/>
    <xf numFmtId="0" fontId="1" fillId="23" borderId="5" applyNumberFormat="0" applyFont="0" applyAlignment="0" applyProtection="0"/>
    <xf numFmtId="0" fontId="29" fillId="20" borderId="6" applyNumberFormat="0" applyAlignment="0" applyProtection="0"/>
    <xf numFmtId="167" fontId="19" fillId="0" borderId="0">
      <protection locked="0"/>
    </xf>
    <xf numFmtId="170" fontId="19" fillId="0" borderId="0">
      <protection locked="0"/>
    </xf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15" fillId="0" borderId="4" applyNumberFormat="0" applyFill="0" applyAlignment="0" applyProtection="0"/>
    <xf numFmtId="0" fontId="19" fillId="0" borderId="9">
      <protection locked="0"/>
    </xf>
    <xf numFmtId="0" fontId="36" fillId="0" borderId="0" applyNumberFormat="0" applyFill="0" applyBorder="0" applyAlignment="0" applyProtection="0"/>
  </cellStyleXfs>
  <cellXfs count="97">
    <xf numFmtId="0" fontId="0" fillId="0" borderId="0" xfId="0"/>
    <xf numFmtId="0" fontId="38" fillId="0" borderId="0" xfId="84" applyFont="1" applyBorder="1" applyAlignment="1">
      <alignment horizontal="center" vertical="center"/>
    </xf>
    <xf numFmtId="0" fontId="39" fillId="0" borderId="0" xfId="84" applyFont="1" applyFill="1" applyBorder="1" applyAlignment="1">
      <alignment vertical="center"/>
    </xf>
    <xf numFmtId="0" fontId="40" fillId="24" borderId="0" xfId="83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vertical="center"/>
    </xf>
    <xf numFmtId="166" fontId="39" fillId="0" borderId="0" xfId="77" applyNumberFormat="1" applyFont="1" applyBorder="1" applyAlignment="1">
      <alignment horizontal="left" vertical="center" indent="1"/>
    </xf>
    <xf numFmtId="165" fontId="39" fillId="0" borderId="0" xfId="77" applyNumberFormat="1" applyFont="1" applyBorder="1" applyAlignment="1">
      <alignment vertical="center"/>
    </xf>
    <xf numFmtId="166" fontId="38" fillId="0" borderId="10" xfId="77" applyNumberFormat="1" applyFont="1" applyBorder="1" applyAlignment="1">
      <alignment vertical="center"/>
    </xf>
    <xf numFmtId="165" fontId="38" fillId="0" borderId="10" xfId="77" applyNumberFormat="1" applyFont="1" applyBorder="1" applyAlignment="1">
      <alignment vertical="center"/>
    </xf>
    <xf numFmtId="165" fontId="39" fillId="0" borderId="10" xfId="0" applyNumberFormat="1" applyFont="1" applyBorder="1" applyAlignment="1">
      <alignment vertical="center"/>
    </xf>
    <xf numFmtId="165" fontId="39" fillId="0" borderId="0" xfId="79" applyNumberFormat="1" applyFont="1" applyBorder="1" applyAlignment="1">
      <alignment vertical="center"/>
    </xf>
    <xf numFmtId="165" fontId="39" fillId="0" borderId="0" xfId="0" applyNumberFormat="1" applyFont="1" applyFill="1" applyBorder="1"/>
    <xf numFmtId="165" fontId="39" fillId="0" borderId="10" xfId="79" applyNumberFormat="1" applyFont="1" applyBorder="1" applyAlignment="1">
      <alignment vertical="center"/>
    </xf>
    <xf numFmtId="166" fontId="39" fillId="0" borderId="0" xfId="77" applyNumberFormat="1" applyFont="1" applyBorder="1" applyAlignment="1">
      <alignment vertical="center"/>
    </xf>
    <xf numFmtId="166" fontId="39" fillId="0" borderId="0" xfId="77" applyNumberFormat="1" applyFont="1" applyBorder="1" applyAlignment="1">
      <alignment horizontal="right" vertical="center"/>
    </xf>
    <xf numFmtId="0" fontId="39" fillId="0" borderId="0" xfId="0" applyFont="1" applyBorder="1" applyAlignment="1">
      <alignment horizontal="left" vertical="center" wrapText="1"/>
    </xf>
    <xf numFmtId="0" fontId="4" fillId="24" borderId="0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8" fillId="0" borderId="0" xfId="84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42" fillId="25" borderId="10" xfId="84" applyFont="1" applyFill="1" applyBorder="1" applyAlignment="1">
      <alignment horizontal="center" vertical="center"/>
    </xf>
    <xf numFmtId="0" fontId="1" fillId="0" borderId="0" xfId="84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41" fillId="24" borderId="12" xfId="84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5" fontId="39" fillId="0" borderId="0" xfId="77" applyNumberFormat="1" applyFont="1" applyFill="1" applyBorder="1" applyAlignment="1">
      <alignment vertical="center"/>
    </xf>
    <xf numFmtId="165" fontId="39" fillId="0" borderId="10" xfId="0" applyNumberFormat="1" applyFont="1" applyFill="1" applyBorder="1" applyAlignment="1">
      <alignment vertical="center"/>
    </xf>
    <xf numFmtId="165" fontId="1" fillId="0" borderId="0" xfId="77" applyNumberFormat="1" applyFont="1" applyFill="1" applyBorder="1" applyAlignment="1">
      <alignment horizontal="right" vertical="center"/>
    </xf>
    <xf numFmtId="165" fontId="1" fillId="0" borderId="10" xfId="79" applyNumberFormat="1" applyFont="1" applyFill="1" applyBorder="1" applyAlignment="1">
      <alignment horizontal="right" vertical="center"/>
    </xf>
    <xf numFmtId="0" fontId="39" fillId="0" borderId="0" xfId="0" applyFont="1" applyBorder="1" applyAlignment="1">
      <alignment horizontal="left" vertical="center" wrapText="1"/>
    </xf>
    <xf numFmtId="165" fontId="38" fillId="0" borderId="10" xfId="77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1" fillId="0" borderId="0" xfId="77" applyNumberFormat="1" applyFont="1" applyBorder="1" applyAlignment="1">
      <alignment vertical="center"/>
    </xf>
    <xf numFmtId="165" fontId="1" fillId="0" borderId="0" xfId="79" applyNumberFormat="1" applyFont="1" applyBorder="1" applyAlignment="1">
      <alignment vertical="center"/>
    </xf>
    <xf numFmtId="165" fontId="1" fillId="0" borderId="10" xfId="79" applyNumberFormat="1" applyFont="1" applyBorder="1" applyAlignment="1">
      <alignment vertical="center"/>
    </xf>
    <xf numFmtId="166" fontId="1" fillId="0" borderId="0" xfId="77" applyNumberFormat="1" applyFont="1" applyBorder="1" applyAlignment="1">
      <alignment vertical="center"/>
    </xf>
    <xf numFmtId="165" fontId="1" fillId="0" borderId="0" xfId="0" applyNumberFormat="1" applyFont="1" applyFill="1" applyBorder="1"/>
    <xf numFmtId="165" fontId="1" fillId="0" borderId="10" xfId="0" applyNumberFormat="1" applyFont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1" fillId="0" borderId="0" xfId="77" applyNumberFormat="1" applyFont="1" applyBorder="1" applyAlignment="1">
      <alignment horizontal="left" vertical="center" inden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38" fillId="26" borderId="0" xfId="79" applyNumberFormat="1" applyFont="1" applyFill="1" applyBorder="1" applyAlignment="1">
      <alignment horizontal="right" vertical="center"/>
    </xf>
    <xf numFmtId="166" fontId="38" fillId="0" borderId="0" xfId="77" applyNumberFormat="1" applyFont="1" applyBorder="1" applyAlignment="1">
      <alignment vertical="center"/>
    </xf>
    <xf numFmtId="165" fontId="38" fillId="0" borderId="0" xfId="77" applyNumberFormat="1" applyFont="1" applyBorder="1" applyAlignment="1">
      <alignment vertical="center"/>
    </xf>
    <xf numFmtId="165" fontId="38" fillId="0" borderId="0" xfId="77" applyNumberFormat="1" applyFont="1" applyBorder="1" applyAlignment="1">
      <alignment horizontal="center" vertical="center"/>
    </xf>
    <xf numFmtId="165" fontId="39" fillId="0" borderId="0" xfId="0" applyNumberFormat="1" applyFont="1" applyBorder="1" applyAlignment="1">
      <alignment vertical="center"/>
    </xf>
    <xf numFmtId="165" fontId="39" fillId="0" borderId="0" xfId="0" applyNumberFormat="1" applyFont="1" applyFill="1" applyBorder="1" applyAlignment="1">
      <alignment vertical="center"/>
    </xf>
    <xf numFmtId="165" fontId="1" fillId="0" borderId="0" xfId="0" applyNumberFormat="1" applyFont="1" applyBorder="1" applyAlignment="1">
      <alignment vertical="center"/>
    </xf>
    <xf numFmtId="166" fontId="38" fillId="27" borderId="14" xfId="77" applyNumberFormat="1" applyFont="1" applyFill="1" applyBorder="1" applyAlignment="1">
      <alignment vertical="center"/>
    </xf>
    <xf numFmtId="165" fontId="38" fillId="27" borderId="11" xfId="77" applyNumberFormat="1" applyFont="1" applyFill="1" applyBorder="1" applyAlignment="1">
      <alignment vertical="center"/>
    </xf>
    <xf numFmtId="165" fontId="38" fillId="27" borderId="15" xfId="77" applyNumberFormat="1" applyFont="1" applyFill="1" applyBorder="1" applyAlignment="1">
      <alignment vertical="center"/>
    </xf>
    <xf numFmtId="0" fontId="4" fillId="24" borderId="0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41" fillId="24" borderId="12" xfId="84" applyFont="1" applyFill="1" applyBorder="1" applyAlignment="1">
      <alignment horizontal="left" vertical="center"/>
    </xf>
    <xf numFmtId="0" fontId="40" fillId="24" borderId="0" xfId="83" applyFont="1" applyFill="1" applyBorder="1" applyAlignment="1">
      <alignment horizontal="left" vertical="center" wrapText="1"/>
    </xf>
    <xf numFmtId="0" fontId="43" fillId="0" borderId="0" xfId="84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66" fontId="1" fillId="0" borderId="10" xfId="79" applyNumberFormat="1" applyFont="1" applyBorder="1" applyAlignment="1">
      <alignment horizontal="left" vertical="center" indent="1"/>
    </xf>
  </cellXfs>
  <cellStyles count="100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ueno" xfId="44" builtinId="26" customBuiltin="1"/>
    <cellStyle name="Cabecera 1" xfId="45"/>
    <cellStyle name="Cabecera 2" xfId="46"/>
    <cellStyle name="Calculation" xfId="47"/>
    <cellStyle name="Cálculo" xfId="48" builtinId="22" customBuiltin="1"/>
    <cellStyle name="Celda de comprobación" xfId="49" builtinId="23" customBuiltin="1"/>
    <cellStyle name="Celda vinculada" xfId="50" builtinId="24" customBuiltin="1"/>
    <cellStyle name="Check Cell" xfId="51"/>
    <cellStyle name="Comma0" xfId="52"/>
    <cellStyle name="Currency0" xfId="53"/>
    <cellStyle name="Date" xfId="54"/>
    <cellStyle name="Encabezado 1" xfId="95" builtinId="16" customBuiltin="1"/>
    <cellStyle name="Encabezado 4" xfId="55" builtinId="19" customBuiltin="1"/>
    <cellStyle name="Énfasis1" xfId="56" builtinId="29" customBuiltin="1"/>
    <cellStyle name="Énfasis2" xfId="57" builtinId="33" customBuiltin="1"/>
    <cellStyle name="Énfasis3" xfId="58" builtinId="37" customBuiltin="1"/>
    <cellStyle name="Énfasis4" xfId="59" builtinId="41" customBuiltin="1"/>
    <cellStyle name="Énfasis5" xfId="60" builtinId="45" customBuiltin="1"/>
    <cellStyle name="Énfasis6" xfId="61" builtinId="49" customBuiltin="1"/>
    <cellStyle name="Entrada" xfId="62" builtinId="20" customBuiltin="1"/>
    <cellStyle name="ESTI1 - Modelo1" xfId="63"/>
    <cellStyle name="Euro" xfId="64"/>
    <cellStyle name="Explanatory Text" xfId="65"/>
    <cellStyle name="Fecha" xfId="66"/>
    <cellStyle name="Fijo" xfId="67"/>
    <cellStyle name="Fixed" xfId="68"/>
    <cellStyle name="Good" xfId="69"/>
    <cellStyle name="Heading 1" xfId="70"/>
    <cellStyle name="Heading 2" xfId="71"/>
    <cellStyle name="Heading 3" xfId="72"/>
    <cellStyle name="Heading 4" xfId="73"/>
    <cellStyle name="Incorrecto" xfId="74" builtinId="27" customBuiltin="1"/>
    <cellStyle name="Input" xfId="75"/>
    <cellStyle name="Linked Cell" xfId="76"/>
    <cellStyle name="Millares" xfId="77" builtinId="3"/>
    <cellStyle name="Millares 2 2" xfId="78"/>
    <cellStyle name="Millares 3" xfId="79"/>
    <cellStyle name="Monetario" xfId="80"/>
    <cellStyle name="Monetario0" xfId="81"/>
    <cellStyle name="Neutral" xfId="82" builtinId="28" customBuiltin="1"/>
    <cellStyle name="Normal" xfId="0" builtinId="0"/>
    <cellStyle name="Normal_C1 (2)" xfId="83"/>
    <cellStyle name="Normal_Cuadros tasas trimestrales" xfId="84"/>
    <cellStyle name="Notas" xfId="85" builtinId="10" customBuiltin="1"/>
    <cellStyle name="Note" xfId="86"/>
    <cellStyle name="Output" xfId="87"/>
    <cellStyle name="Punto" xfId="88"/>
    <cellStyle name="Punto0" xfId="89"/>
    <cellStyle name="Salida" xfId="90" builtinId="21" customBuiltin="1"/>
    <cellStyle name="Texto de advertencia" xfId="91" builtinId="11" customBuiltin="1"/>
    <cellStyle name="Texto explicativo" xfId="92" builtinId="53" customBuiltin="1"/>
    <cellStyle name="Title" xfId="93"/>
    <cellStyle name="Título" xfId="94" builtinId="15" customBuiltin="1"/>
    <cellStyle name="Título 2" xfId="96" builtinId="17" customBuiltin="1"/>
    <cellStyle name="Título 3" xfId="97" builtinId="18" customBuiltin="1"/>
    <cellStyle name="Total" xfId="98" builtinId="25" customBuiltin="1"/>
    <cellStyle name="Warning Text" xfId="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87"/>
  <sheetViews>
    <sheetView showGridLines="0" tabSelected="1" topLeftCell="A3" zoomScale="70" zoomScaleNormal="70" zoomScalePageLayoutView="70" workbookViewId="0">
      <selection activeCell="A5" sqref="A5:A32"/>
    </sheetView>
  </sheetViews>
  <sheetFormatPr baseColWidth="10" defaultColWidth="11.453125" defaultRowHeight="0" customHeight="1" zeroHeight="1" x14ac:dyDescent="0.25"/>
  <cols>
    <col min="1" max="1" width="37.7265625" style="18" customWidth="1"/>
    <col min="2" max="11" width="19.54296875" style="43" customWidth="1"/>
    <col min="12" max="62" width="19.54296875" style="18" customWidth="1"/>
    <col min="63" max="63" width="19.54296875" style="45" customWidth="1"/>
    <col min="64" max="88" width="19.54296875" style="18" customWidth="1"/>
    <col min="89" max="16384" width="11.453125" style="5"/>
  </cols>
  <sheetData>
    <row r="1" spans="1:88" s="2" customFormat="1" ht="22.5" customHeight="1" x14ac:dyDescent="0.2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38.25" customHeight="1" x14ac:dyDescent="0.25">
      <c r="A2" s="93" t="s">
        <v>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92" t="s">
        <v>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</row>
    <row r="4" spans="1:88" s="19" customFormat="1" ht="30" customHeight="1" thickBot="1" x14ac:dyDescent="0.3">
      <c r="A4" s="22" t="s">
        <v>9</v>
      </c>
      <c r="B4" s="22" t="s">
        <v>96</v>
      </c>
      <c r="C4" s="22" t="s">
        <v>95</v>
      </c>
      <c r="D4" s="22" t="s">
        <v>94</v>
      </c>
      <c r="E4" s="22" t="s">
        <v>93</v>
      </c>
      <c r="F4" s="22" t="s">
        <v>92</v>
      </c>
      <c r="G4" s="22" t="s">
        <v>91</v>
      </c>
      <c r="H4" s="22" t="s">
        <v>90</v>
      </c>
      <c r="I4" s="22" t="s">
        <v>89</v>
      </c>
      <c r="J4" s="22" t="s">
        <v>88</v>
      </c>
      <c r="K4" s="22" t="s">
        <v>87</v>
      </c>
      <c r="L4" s="22" t="s">
        <v>86</v>
      </c>
      <c r="M4" s="22" t="s">
        <v>85</v>
      </c>
      <c r="N4" s="22" t="s">
        <v>84</v>
      </c>
      <c r="O4" s="22" t="s">
        <v>83</v>
      </c>
      <c r="P4" s="22" t="s">
        <v>82</v>
      </c>
      <c r="Q4" s="22" t="s">
        <v>81</v>
      </c>
      <c r="R4" s="22" t="s">
        <v>80</v>
      </c>
      <c r="S4" s="22" t="s">
        <v>79</v>
      </c>
      <c r="T4" s="22" t="s">
        <v>78</v>
      </c>
      <c r="U4" s="22" t="s">
        <v>77</v>
      </c>
      <c r="V4" s="22" t="s">
        <v>76</v>
      </c>
      <c r="W4" s="22" t="s">
        <v>75</v>
      </c>
      <c r="X4" s="22" t="s">
        <v>74</v>
      </c>
      <c r="Y4" s="22" t="s">
        <v>73</v>
      </c>
      <c r="Z4" s="22" t="s">
        <v>72</v>
      </c>
      <c r="AA4" s="22" t="s">
        <v>71</v>
      </c>
      <c r="AB4" s="22" t="s">
        <v>70</v>
      </c>
      <c r="AC4" s="22" t="s">
        <v>69</v>
      </c>
      <c r="AD4" s="22" t="s">
        <v>68</v>
      </c>
      <c r="AE4" s="22" t="s">
        <v>67</v>
      </c>
      <c r="AF4" s="22" t="s">
        <v>66</v>
      </c>
      <c r="AG4" s="22" t="s">
        <v>65</v>
      </c>
      <c r="AH4" s="22" t="s">
        <v>64</v>
      </c>
      <c r="AI4" s="22" t="s">
        <v>63</v>
      </c>
      <c r="AJ4" s="22" t="s">
        <v>62</v>
      </c>
      <c r="AK4" s="22" t="s">
        <v>61</v>
      </c>
      <c r="AL4" s="22" t="s">
        <v>60</v>
      </c>
      <c r="AM4" s="22" t="s">
        <v>59</v>
      </c>
      <c r="AN4" s="22" t="s">
        <v>58</v>
      </c>
      <c r="AO4" s="22" t="s">
        <v>57</v>
      </c>
      <c r="AP4" s="22" t="s">
        <v>56</v>
      </c>
      <c r="AQ4" s="22" t="s">
        <v>55</v>
      </c>
      <c r="AR4" s="22" t="s">
        <v>54</v>
      </c>
      <c r="AS4" s="22" t="s">
        <v>53</v>
      </c>
      <c r="AT4" s="22" t="s">
        <v>52</v>
      </c>
      <c r="AU4" s="22" t="s">
        <v>51</v>
      </c>
      <c r="AV4" s="22" t="s">
        <v>50</v>
      </c>
      <c r="AW4" s="22" t="s">
        <v>49</v>
      </c>
      <c r="AX4" s="22" t="s">
        <v>48</v>
      </c>
      <c r="AY4" s="22" t="s">
        <v>47</v>
      </c>
      <c r="AZ4" s="22" t="s">
        <v>46</v>
      </c>
      <c r="BA4" s="22" t="s">
        <v>45</v>
      </c>
      <c r="BB4" s="22" t="s">
        <v>44</v>
      </c>
      <c r="BC4" s="22" t="s">
        <v>43</v>
      </c>
      <c r="BD4" s="22" t="s">
        <v>42</v>
      </c>
      <c r="BE4" s="22" t="s">
        <v>41</v>
      </c>
      <c r="BF4" s="22" t="s">
        <v>40</v>
      </c>
      <c r="BG4" s="22" t="s">
        <v>39</v>
      </c>
      <c r="BH4" s="22" t="s">
        <v>38</v>
      </c>
      <c r="BI4" s="22" t="s">
        <v>37</v>
      </c>
      <c r="BJ4" s="22" t="s">
        <v>36</v>
      </c>
      <c r="BK4" s="22" t="s">
        <v>35</v>
      </c>
      <c r="BL4" s="22" t="s">
        <v>34</v>
      </c>
      <c r="BM4" s="22" t="s">
        <v>33</v>
      </c>
      <c r="BN4" s="22" t="s">
        <v>32</v>
      </c>
      <c r="BO4" s="22" t="s">
        <v>31</v>
      </c>
      <c r="BP4" s="22" t="s">
        <v>30</v>
      </c>
      <c r="BQ4" s="22" t="s">
        <v>29</v>
      </c>
      <c r="BR4" s="22" t="s">
        <v>28</v>
      </c>
      <c r="BS4" s="22" t="s">
        <v>27</v>
      </c>
      <c r="BT4" s="22" t="s">
        <v>26</v>
      </c>
      <c r="BU4" s="22" t="s">
        <v>25</v>
      </c>
      <c r="BV4" s="22" t="s">
        <v>24</v>
      </c>
      <c r="BW4" s="22" t="s">
        <v>23</v>
      </c>
      <c r="BX4" s="22" t="s">
        <v>22</v>
      </c>
      <c r="BY4" s="22" t="s">
        <v>21</v>
      </c>
      <c r="BZ4" s="22" t="s">
        <v>20</v>
      </c>
      <c r="CA4" s="22" t="s">
        <v>19</v>
      </c>
      <c r="CB4" s="22" t="s">
        <v>18</v>
      </c>
      <c r="CC4" s="22" t="s">
        <v>17</v>
      </c>
      <c r="CD4" s="22" t="s">
        <v>16</v>
      </c>
      <c r="CE4" s="22" t="s">
        <v>15</v>
      </c>
      <c r="CF4" s="22" t="s">
        <v>14</v>
      </c>
      <c r="CG4" s="22" t="s">
        <v>13</v>
      </c>
      <c r="CH4" s="22" t="s">
        <v>10</v>
      </c>
      <c r="CI4" s="22" t="s">
        <v>11</v>
      </c>
      <c r="CJ4" s="22" t="s">
        <v>12</v>
      </c>
    </row>
    <row r="5" spans="1:88" s="4" customFormat="1" ht="30" customHeight="1" thickBot="1" x14ac:dyDescent="0.3">
      <c r="A5" s="85" t="s">
        <v>97</v>
      </c>
      <c r="B5" s="86">
        <f>AVERAGE(B6:B7)</f>
        <v>16.330878348776768</v>
      </c>
      <c r="C5" s="86">
        <f t="shared" ref="C5:BN5" si="0">AVERAGE(C6:C7)</f>
        <v>14.766295581808823</v>
      </c>
      <c r="D5" s="86">
        <f t="shared" si="0"/>
        <v>14.665169106627783</v>
      </c>
      <c r="E5" s="86">
        <f t="shared" si="0"/>
        <v>14.862007172033813</v>
      </c>
      <c r="F5" s="86">
        <f t="shared" si="0"/>
        <v>13.392036779084524</v>
      </c>
      <c r="G5" s="86">
        <f t="shared" si="0"/>
        <v>12.233790074767253</v>
      </c>
      <c r="H5" s="86">
        <f t="shared" si="0"/>
        <v>13.205860367451312</v>
      </c>
      <c r="I5" s="86">
        <f t="shared" si="0"/>
        <v>12.232687771865521</v>
      </c>
      <c r="J5" s="86">
        <f t="shared" si="0"/>
        <v>11.337186689378889</v>
      </c>
      <c r="K5" s="86">
        <f t="shared" si="0"/>
        <v>10.272840594335779</v>
      </c>
      <c r="L5" s="86">
        <f t="shared" si="0"/>
        <v>11.569549059749502</v>
      </c>
      <c r="M5" s="86">
        <f t="shared" si="0"/>
        <v>10.626189509964416</v>
      </c>
      <c r="N5" s="86">
        <f t="shared" si="0"/>
        <v>10.344972814566791</v>
      </c>
      <c r="O5" s="86">
        <f t="shared" si="0"/>
        <v>8.9021282546453975</v>
      </c>
      <c r="P5" s="86">
        <f t="shared" si="0"/>
        <v>10.025711874248694</v>
      </c>
      <c r="Q5" s="86">
        <f t="shared" si="0"/>
        <v>8.564720497733159</v>
      </c>
      <c r="R5" s="86">
        <f t="shared" si="0"/>
        <v>8.1968648793440959</v>
      </c>
      <c r="S5" s="86">
        <f t="shared" si="0"/>
        <v>7.8290092609550301</v>
      </c>
      <c r="T5" s="86">
        <f t="shared" si="0"/>
        <v>8.5868867881250299</v>
      </c>
      <c r="U5" s="86">
        <f t="shared" si="0"/>
        <v>8.1625527425507052</v>
      </c>
      <c r="V5" s="86">
        <f t="shared" si="0"/>
        <v>8.0359191722260146</v>
      </c>
      <c r="W5" s="86">
        <f t="shared" si="0"/>
        <v>7.4971604132380287</v>
      </c>
      <c r="X5" s="86">
        <f t="shared" si="0"/>
        <v>8.5152821315573739</v>
      </c>
      <c r="Y5" s="86">
        <f t="shared" si="0"/>
        <v>8.8714605941638531</v>
      </c>
      <c r="Z5" s="86">
        <f t="shared" si="0"/>
        <v>9.2163817410047031</v>
      </c>
      <c r="AA5" s="86">
        <f t="shared" si="0"/>
        <v>8.5448461852713038</v>
      </c>
      <c r="AB5" s="86">
        <f t="shared" si="0"/>
        <v>8.5162287632232836</v>
      </c>
      <c r="AC5" s="86">
        <f t="shared" si="0"/>
        <v>8.0193359124771924</v>
      </c>
      <c r="AD5" s="86">
        <f t="shared" si="0"/>
        <v>7.598418456605013</v>
      </c>
      <c r="AE5" s="86">
        <f t="shared" si="0"/>
        <v>7.5050148049912657</v>
      </c>
      <c r="AF5" s="86">
        <f t="shared" si="0"/>
        <v>7.5589856585550095</v>
      </c>
      <c r="AG5" s="86">
        <f t="shared" si="0"/>
        <v>7.5157664134012059</v>
      </c>
      <c r="AH5" s="86">
        <f t="shared" si="0"/>
        <v>7.4104990836195892</v>
      </c>
      <c r="AI5" s="86">
        <f t="shared" si="0"/>
        <v>6.9572091311011395</v>
      </c>
      <c r="AJ5" s="86">
        <f t="shared" si="0"/>
        <v>7.3445082187668156</v>
      </c>
      <c r="AK5" s="86">
        <f t="shared" si="0"/>
        <v>7.3025324116818098</v>
      </c>
      <c r="AL5" s="86">
        <f t="shared" si="0"/>
        <v>7.9207096322542547</v>
      </c>
      <c r="AM5" s="86">
        <f t="shared" si="0"/>
        <v>7.1246122789205861</v>
      </c>
      <c r="AN5" s="86">
        <f t="shared" si="0"/>
        <v>8.15</v>
      </c>
      <c r="AO5" s="86">
        <f t="shared" si="0"/>
        <v>7.4</v>
      </c>
      <c r="AP5" s="86">
        <f t="shared" si="0"/>
        <v>7.0510867552572121</v>
      </c>
      <c r="AQ5" s="86">
        <f t="shared" si="0"/>
        <v>6.5447510087287721</v>
      </c>
      <c r="AR5" s="86">
        <f t="shared" si="0"/>
        <v>7.2843570438727649</v>
      </c>
      <c r="AS5" s="86">
        <f t="shared" si="0"/>
        <v>7.6663851954228575</v>
      </c>
      <c r="AT5" s="86">
        <f t="shared" si="0"/>
        <v>7.6657766247972674</v>
      </c>
      <c r="AU5" s="86">
        <f t="shared" si="0"/>
        <v>7.0511086099329985</v>
      </c>
      <c r="AV5" s="86">
        <f t="shared" si="0"/>
        <v>7.2695944009938813</v>
      </c>
      <c r="AW5" s="86">
        <f t="shared" si="0"/>
        <v>6.7279380779357778</v>
      </c>
      <c r="AX5" s="86">
        <f t="shared" si="0"/>
        <v>8.0966286646294279</v>
      </c>
      <c r="AY5" s="86">
        <f t="shared" si="0"/>
        <v>8.7809739579762542</v>
      </c>
      <c r="AZ5" s="86">
        <f t="shared" si="0"/>
        <v>9.1231466046496656</v>
      </c>
      <c r="BA5" s="86">
        <f t="shared" si="0"/>
        <v>9.4653192513230788</v>
      </c>
      <c r="BB5" s="86">
        <f t="shared" si="0"/>
        <v>8.5926888507985844</v>
      </c>
      <c r="BC5" s="86">
        <f t="shared" si="0"/>
        <v>7.6647230696334532</v>
      </c>
      <c r="BD5" s="86">
        <f t="shared" si="0"/>
        <v>9.3411848358685727</v>
      </c>
      <c r="BE5" s="86">
        <f t="shared" si="0"/>
        <v>8.8059648630350367</v>
      </c>
      <c r="BF5" s="86">
        <f t="shared" si="0"/>
        <v>8.4449965059545775</v>
      </c>
      <c r="BG5" s="86">
        <f t="shared" si="0"/>
        <v>7.388594132556193</v>
      </c>
      <c r="BH5" s="86">
        <f t="shared" si="0"/>
        <v>9.3028103711703238</v>
      </c>
      <c r="BI5" s="86">
        <f t="shared" si="0"/>
        <v>9.7390607815809176</v>
      </c>
      <c r="BJ5" s="86">
        <f t="shared" si="0"/>
        <v>9.1427219623208416</v>
      </c>
      <c r="BK5" s="86">
        <f t="shared" si="0"/>
        <v>9.2456176150672658</v>
      </c>
      <c r="BL5" s="86">
        <f t="shared" si="0"/>
        <v>10.200728477684674</v>
      </c>
      <c r="BM5" s="86">
        <f t="shared" si="0"/>
        <v>10.703378729380418</v>
      </c>
      <c r="BN5" s="86">
        <f t="shared" si="0"/>
        <v>9.8607548212273137</v>
      </c>
      <c r="BO5" s="86">
        <f t="shared" ref="BO5:CI5" si="1">AVERAGE(BO6:BO7)</f>
        <v>8.9585441915609074</v>
      </c>
      <c r="BP5" s="86">
        <f t="shared" si="1"/>
        <v>10.452899618245159</v>
      </c>
      <c r="BQ5" s="86">
        <f t="shared" si="1"/>
        <v>13.123359136234688</v>
      </c>
      <c r="BR5" s="86">
        <f t="shared" si="1"/>
        <v>11.869664499604568</v>
      </c>
      <c r="BS5" s="86">
        <f t="shared" si="1"/>
        <v>11.055774144465669</v>
      </c>
      <c r="BT5" s="86">
        <f t="shared" si="1"/>
        <v>10.41578958805821</v>
      </c>
      <c r="BU5" s="86">
        <f t="shared" si="1"/>
        <v>9.6964907566551375</v>
      </c>
      <c r="BV5" s="86">
        <f t="shared" si="1"/>
        <v>8.3113993065209808</v>
      </c>
      <c r="BW5" s="86">
        <f t="shared" si="1"/>
        <v>7.0498761457447898</v>
      </c>
      <c r="BX5" s="86">
        <f t="shared" si="1"/>
        <v>7.1081690714086836</v>
      </c>
      <c r="BY5" s="86">
        <f t="shared" si="1"/>
        <v>6.9562906013528734</v>
      </c>
      <c r="BZ5" s="86">
        <f t="shared" si="1"/>
        <v>7.1865459362189767</v>
      </c>
      <c r="CA5" s="86">
        <f t="shared" si="1"/>
        <v>6.3218632458791575</v>
      </c>
      <c r="CB5" s="86">
        <f t="shared" si="1"/>
        <v>6.9679746622056395</v>
      </c>
      <c r="CC5" s="86">
        <f t="shared" si="1"/>
        <v>6.3075870932866671</v>
      </c>
      <c r="CD5" s="86">
        <f t="shared" si="1"/>
        <v>5.7782967604158699</v>
      </c>
      <c r="CE5" s="86">
        <f t="shared" si="1"/>
        <v>5.7735189035915386</v>
      </c>
      <c r="CF5" s="86">
        <f t="shared" si="1"/>
        <v>7.734481329256214</v>
      </c>
      <c r="CG5" s="86">
        <f t="shared" si="1"/>
        <v>7.6387819761708684</v>
      </c>
      <c r="CH5" s="86">
        <f t="shared" si="1"/>
        <v>7.0179922503780201</v>
      </c>
      <c r="CI5" s="86">
        <f t="shared" si="1"/>
        <v>6.4835613461712924</v>
      </c>
      <c r="CJ5" s="87">
        <f>AVERAGE(CJ6:CJ7)</f>
        <v>8.0044367373996721</v>
      </c>
    </row>
    <row r="6" spans="1:88" ht="20.149999999999999" customHeight="1" x14ac:dyDescent="0.25">
      <c r="A6" s="66" t="s">
        <v>98</v>
      </c>
      <c r="B6" s="46">
        <v>14.801326422244864</v>
      </c>
      <c r="C6" s="46">
        <v>12.489019641980976</v>
      </c>
      <c r="D6" s="46">
        <v>11.766732145397645</v>
      </c>
      <c r="E6" s="46">
        <v>13.275829468757241</v>
      </c>
      <c r="F6" s="46">
        <v>11.535211922357606</v>
      </c>
      <c r="G6" s="46">
        <v>10.761815488871305</v>
      </c>
      <c r="H6" s="46">
        <v>11.237208956288033</v>
      </c>
      <c r="I6" s="46">
        <v>10.362377660752641</v>
      </c>
      <c r="J6" s="46">
        <v>9.9273935325857909</v>
      </c>
      <c r="K6" s="46">
        <v>8.5301107739929751</v>
      </c>
      <c r="L6" s="7">
        <v>9.7054985276856875</v>
      </c>
      <c r="M6" s="7">
        <v>8.3715674686416239</v>
      </c>
      <c r="N6" s="7">
        <v>8.5808716709295592</v>
      </c>
      <c r="O6" s="7">
        <v>6.890401349038469</v>
      </c>
      <c r="P6" s="7">
        <v>7.6986696890848405</v>
      </c>
      <c r="Q6" s="7">
        <v>6.6673186829333808</v>
      </c>
      <c r="R6" s="78">
        <f t="shared" ref="R6:R7" si="2">+(Q6+S6)/2</f>
        <v>6.2638267735698951</v>
      </c>
      <c r="S6" s="7">
        <v>5.8603348642064095</v>
      </c>
      <c r="T6" s="7">
        <v>6.6980729447562659</v>
      </c>
      <c r="U6" s="7">
        <v>6.782003260369093</v>
      </c>
      <c r="V6" s="7">
        <v>6.3806236991001342</v>
      </c>
      <c r="W6" s="7">
        <v>6.0103786535774066</v>
      </c>
      <c r="X6" s="7">
        <v>7.4337713189317558</v>
      </c>
      <c r="Y6" s="7">
        <v>7.943187440269682</v>
      </c>
      <c r="Z6" s="7">
        <v>8.3315882751742798</v>
      </c>
      <c r="AA6" s="7">
        <v>7.3290188766402924</v>
      </c>
      <c r="AB6" s="7">
        <v>6.8707456854186626</v>
      </c>
      <c r="AC6" s="7">
        <v>6.9220793780166714</v>
      </c>
      <c r="AD6" s="7">
        <v>6.6283581525097848</v>
      </c>
      <c r="AE6" s="7">
        <v>6.1850039808803343</v>
      </c>
      <c r="AF6" s="7">
        <v>6.5710040586330978</v>
      </c>
      <c r="AG6" s="7">
        <v>6.4492838890011299</v>
      </c>
      <c r="AH6" s="7">
        <v>6.241655698185129</v>
      </c>
      <c r="AI6" s="7">
        <v>5.6710653134856797</v>
      </c>
      <c r="AJ6" s="7">
        <v>6.0106633182246698</v>
      </c>
      <c r="AK6" s="7">
        <v>6.7076321054884644</v>
      </c>
      <c r="AL6" s="7">
        <v>5.979869408853367</v>
      </c>
      <c r="AM6" s="7">
        <v>5.5714425663754152</v>
      </c>
      <c r="AN6" s="7">
        <v>6.8</v>
      </c>
      <c r="AO6" s="7">
        <v>6.4</v>
      </c>
      <c r="AP6" s="7">
        <v>5.6344875466255182</v>
      </c>
      <c r="AQ6" s="7">
        <v>5.5539473260992249</v>
      </c>
      <c r="AR6" s="7">
        <v>6.2999148701435113</v>
      </c>
      <c r="AS6" s="7">
        <v>6.5796503806829527</v>
      </c>
      <c r="AT6" s="7">
        <v>6.7686623927611977</v>
      </c>
      <c r="AU6" s="7">
        <v>6.2300040601186852</v>
      </c>
      <c r="AV6" s="7">
        <v>6.2791554858187517</v>
      </c>
      <c r="AW6" s="7">
        <v>5.7903777941387764</v>
      </c>
      <c r="AX6" s="78">
        <f t="shared" ref="AX6:AX7" si="3">+(AW6+BA6)/2</f>
        <v>7.126635775118217</v>
      </c>
      <c r="AY6" s="78">
        <f t="shared" ref="AY6:AY7" si="4">+(AX6+BA6)/2</f>
        <v>7.7947647656079369</v>
      </c>
      <c r="AZ6" s="78">
        <f t="shared" ref="AZ6:AZ7" si="5">+(AY6+BA6)/2</f>
        <v>8.1288292608527968</v>
      </c>
      <c r="BA6" s="28">
        <v>8.4628937560976567</v>
      </c>
      <c r="BB6" s="7">
        <v>8.0358932364378504</v>
      </c>
      <c r="BC6" s="7">
        <v>6.9204068436190411</v>
      </c>
      <c r="BD6" s="7">
        <v>8.4575821345123714</v>
      </c>
      <c r="BE6" s="7">
        <v>8.1610448595913425</v>
      </c>
      <c r="BF6" s="7">
        <v>7.3308940593119249</v>
      </c>
      <c r="BG6" s="7">
        <v>6.1251159005979172</v>
      </c>
      <c r="BH6" s="7">
        <v>8.0440786520875953</v>
      </c>
      <c r="BI6" s="7">
        <v>8.7045778412972918</v>
      </c>
      <c r="BJ6" s="7">
        <v>7.8183403171824777</v>
      </c>
      <c r="BK6" s="46">
        <v>8.2452100900070633</v>
      </c>
      <c r="BL6" s="7">
        <v>9.1771799384562218</v>
      </c>
      <c r="BM6" s="7">
        <v>10.173186053020222</v>
      </c>
      <c r="BN6" s="7">
        <v>8.8968339967170547</v>
      </c>
      <c r="BO6" s="7">
        <v>8.4361017308994182</v>
      </c>
      <c r="BP6" s="7">
        <v>9.7154492514848592</v>
      </c>
      <c r="BQ6" s="7">
        <v>12.775529462122906</v>
      </c>
      <c r="BR6" s="7">
        <v>10.599774161514322</v>
      </c>
      <c r="BS6" s="7">
        <v>10.204717228264562</v>
      </c>
      <c r="BT6" s="7">
        <v>8.5264862382436277</v>
      </c>
      <c r="BU6" s="7">
        <v>9.0056362026636325</v>
      </c>
      <c r="BV6" s="7">
        <v>7.658598587522274</v>
      </c>
      <c r="BW6" s="7">
        <v>6.3584632315500729</v>
      </c>
      <c r="BX6" s="7">
        <v>5.8879061936349171</v>
      </c>
      <c r="BY6" s="7">
        <v>6.0704291354786388</v>
      </c>
      <c r="BZ6" s="7">
        <v>6.5426741656430307</v>
      </c>
      <c r="CA6" s="7">
        <v>5.9888279835608138</v>
      </c>
      <c r="CB6" s="7">
        <v>6.1264504434392988</v>
      </c>
      <c r="CC6" s="7">
        <v>5.6832346856527707</v>
      </c>
      <c r="CD6" s="7">
        <v>5.298803805010051</v>
      </c>
      <c r="CE6" s="7">
        <v>5.3991619326164253</v>
      </c>
      <c r="CF6" s="7">
        <v>7.0228687229564279</v>
      </c>
      <c r="CG6" s="7">
        <v>6.9156547954903349</v>
      </c>
      <c r="CH6" s="7">
        <v>6.1531383570756901</v>
      </c>
      <c r="CI6" s="7">
        <v>6.1141972304782159</v>
      </c>
      <c r="CJ6" s="7">
        <v>6.9951665244958399</v>
      </c>
    </row>
    <row r="7" spans="1:88" ht="20.149999999999999" customHeight="1" thickBot="1" x14ac:dyDescent="0.3">
      <c r="A7" s="66" t="s">
        <v>99</v>
      </c>
      <c r="B7" s="46">
        <v>17.860430275308669</v>
      </c>
      <c r="C7" s="46">
        <v>17.043571521636668</v>
      </c>
      <c r="D7" s="46">
        <v>17.563606067857922</v>
      </c>
      <c r="E7" s="46">
        <v>16.448184875310385</v>
      </c>
      <c r="F7" s="46">
        <v>15.248861635811442</v>
      </c>
      <c r="G7" s="46">
        <v>13.705764660663203</v>
      </c>
      <c r="H7" s="46">
        <v>15.17451177861459</v>
      </c>
      <c r="I7" s="46">
        <v>14.102997882978402</v>
      </c>
      <c r="J7" s="46">
        <v>12.746979846171985</v>
      </c>
      <c r="K7" s="46">
        <v>12.015570414678583</v>
      </c>
      <c r="L7" s="7">
        <v>13.433599591813314</v>
      </c>
      <c r="M7" s="7">
        <v>12.880811551287206</v>
      </c>
      <c r="N7" s="7">
        <v>12.109073958204021</v>
      </c>
      <c r="O7" s="7">
        <v>10.913855160252325</v>
      </c>
      <c r="P7" s="7">
        <v>12.352754059412549</v>
      </c>
      <c r="Q7" s="7">
        <v>10.462122312532939</v>
      </c>
      <c r="R7" s="78">
        <f t="shared" si="2"/>
        <v>10.129902985118296</v>
      </c>
      <c r="S7" s="7">
        <v>9.7976836577036508</v>
      </c>
      <c r="T7" s="7">
        <v>10.475700631493794</v>
      </c>
      <c r="U7" s="7">
        <v>9.5431022247323174</v>
      </c>
      <c r="V7" s="7">
        <v>9.691214645351895</v>
      </c>
      <c r="W7" s="7">
        <v>8.9839421728986508</v>
      </c>
      <c r="X7" s="7">
        <v>9.596792944182992</v>
      </c>
      <c r="Y7" s="7">
        <v>9.7997337480580242</v>
      </c>
      <c r="Z7" s="7">
        <v>10.101175206835126</v>
      </c>
      <c r="AA7" s="7">
        <v>9.7606734939023152</v>
      </c>
      <c r="AB7" s="7">
        <v>10.161711841027905</v>
      </c>
      <c r="AC7" s="7">
        <v>9.1165924469377124</v>
      </c>
      <c r="AD7" s="7">
        <v>8.5684787607002413</v>
      </c>
      <c r="AE7" s="7">
        <v>8.825025629102198</v>
      </c>
      <c r="AF7" s="7">
        <v>8.5469672584769221</v>
      </c>
      <c r="AG7" s="7">
        <v>8.5822489378012818</v>
      </c>
      <c r="AH7" s="7">
        <v>8.5793424690540494</v>
      </c>
      <c r="AI7" s="7">
        <v>8.2433529487166002</v>
      </c>
      <c r="AJ7" s="7">
        <v>8.6783531193089605</v>
      </c>
      <c r="AK7" s="7">
        <v>7.8974327178751542</v>
      </c>
      <c r="AL7" s="7">
        <v>9.8615498556551433</v>
      </c>
      <c r="AM7" s="7">
        <v>8.677781991465757</v>
      </c>
      <c r="AN7" s="7">
        <v>9.5</v>
      </c>
      <c r="AO7" s="7">
        <v>8.4</v>
      </c>
      <c r="AP7" s="7">
        <v>8.4676859638889059</v>
      </c>
      <c r="AQ7" s="7">
        <v>7.5355546913583193</v>
      </c>
      <c r="AR7" s="7">
        <v>8.2687992176020195</v>
      </c>
      <c r="AS7" s="7">
        <v>8.7531200101627622</v>
      </c>
      <c r="AT7" s="7">
        <v>8.5628908568333362</v>
      </c>
      <c r="AU7" s="7">
        <v>7.8722131597473117</v>
      </c>
      <c r="AV7" s="7">
        <v>8.2600333161690109</v>
      </c>
      <c r="AW7" s="7">
        <v>7.6654983617327792</v>
      </c>
      <c r="AX7" s="78">
        <f t="shared" si="3"/>
        <v>9.0666215541406405</v>
      </c>
      <c r="AY7" s="78">
        <f t="shared" si="4"/>
        <v>9.7671831503445716</v>
      </c>
      <c r="AZ7" s="78">
        <f t="shared" si="5"/>
        <v>10.117463948446536</v>
      </c>
      <c r="BA7" s="28">
        <v>10.467744746548501</v>
      </c>
      <c r="BB7" s="7">
        <v>9.1494844651593183</v>
      </c>
      <c r="BC7" s="7">
        <v>8.4090392956478652</v>
      </c>
      <c r="BD7" s="7">
        <v>10.224787537224774</v>
      </c>
      <c r="BE7" s="7">
        <v>9.4508848664787291</v>
      </c>
      <c r="BF7" s="7">
        <v>9.5590989525972319</v>
      </c>
      <c r="BG7" s="7">
        <v>8.6520723645144688</v>
      </c>
      <c r="BH7" s="7">
        <v>10.561542090253052</v>
      </c>
      <c r="BI7" s="7">
        <v>10.773543721864543</v>
      </c>
      <c r="BJ7" s="7">
        <v>10.467103607459205</v>
      </c>
      <c r="BK7" s="46">
        <v>10.246025140127468</v>
      </c>
      <c r="BL7" s="7">
        <v>11.224277016913128</v>
      </c>
      <c r="BM7" s="7">
        <v>11.233571405740614</v>
      </c>
      <c r="BN7" s="7">
        <v>10.824675645737573</v>
      </c>
      <c r="BO7" s="7">
        <v>9.4809866522223949</v>
      </c>
      <c r="BP7" s="7">
        <v>11.190349985005456</v>
      </c>
      <c r="BQ7" s="7">
        <v>13.471188810346471</v>
      </c>
      <c r="BR7" s="7">
        <v>13.139554837694813</v>
      </c>
      <c r="BS7" s="7">
        <v>11.906831060666779</v>
      </c>
      <c r="BT7" s="7">
        <v>12.305092937872795</v>
      </c>
      <c r="BU7" s="7">
        <v>10.387345310646641</v>
      </c>
      <c r="BV7" s="7">
        <v>8.9642000255196876</v>
      </c>
      <c r="BW7" s="7">
        <v>7.7412890599395077</v>
      </c>
      <c r="BX7" s="7">
        <v>8.3284319491824501</v>
      </c>
      <c r="BY7" s="7">
        <v>7.8421520672271079</v>
      </c>
      <c r="BZ7" s="7">
        <v>7.8304177067949237</v>
      </c>
      <c r="CA7" s="7">
        <v>6.6548985081975003</v>
      </c>
      <c r="CB7" s="7">
        <v>7.8094988809719812</v>
      </c>
      <c r="CC7" s="7">
        <v>6.9319395009205627</v>
      </c>
      <c r="CD7" s="7">
        <v>6.2577897158216889</v>
      </c>
      <c r="CE7" s="7">
        <v>6.1478758745666511</v>
      </c>
      <c r="CF7" s="7">
        <v>8.4460939355560001</v>
      </c>
      <c r="CG7" s="7">
        <v>8.3619091568514019</v>
      </c>
      <c r="CH7" s="7">
        <v>7.8828461436803501</v>
      </c>
      <c r="CI7" s="7">
        <v>6.8529254618643689</v>
      </c>
      <c r="CJ7" s="7">
        <v>9.0137069503035061</v>
      </c>
    </row>
    <row r="8" spans="1:88" ht="30" customHeight="1" thickBot="1" x14ac:dyDescent="0.3">
      <c r="A8" s="85" t="s">
        <v>100</v>
      </c>
      <c r="B8" s="86">
        <f>AVERAGE(B9:B13)</f>
        <v>16.720499360005423</v>
      </c>
      <c r="C8" s="86">
        <f t="shared" ref="C8:BN8" si="6">AVERAGE(C9:C13)</f>
        <v>14.721751545175868</v>
      </c>
      <c r="D8" s="86">
        <f t="shared" si="6"/>
        <v>14.731131311174426</v>
      </c>
      <c r="E8" s="86">
        <f t="shared" si="6"/>
        <v>14.751914260789889</v>
      </c>
      <c r="F8" s="86">
        <f t="shared" si="6"/>
        <v>13.502271550641449</v>
      </c>
      <c r="G8" s="86">
        <f t="shared" si="6"/>
        <v>12.499221113573228</v>
      </c>
      <c r="H8" s="86">
        <f t="shared" si="6"/>
        <v>13.614276571476253</v>
      </c>
      <c r="I8" s="86">
        <f t="shared" si="6"/>
        <v>12.266147543040324</v>
      </c>
      <c r="J8" s="86">
        <f t="shared" si="6"/>
        <v>11.500496686525761</v>
      </c>
      <c r="K8" s="86">
        <f t="shared" si="6"/>
        <v>10.494093438271895</v>
      </c>
      <c r="L8" s="86">
        <f t="shared" si="6"/>
        <v>11.760992718276023</v>
      </c>
      <c r="M8" s="86">
        <f t="shared" si="6"/>
        <v>10.674298643449134</v>
      </c>
      <c r="N8" s="86">
        <f t="shared" si="6"/>
        <v>10.532357926910347</v>
      </c>
      <c r="O8" s="86">
        <f t="shared" si="6"/>
        <v>9.019251064947273</v>
      </c>
      <c r="P8" s="86">
        <f t="shared" si="6"/>
        <v>9.8735423845071715</v>
      </c>
      <c r="Q8" s="86">
        <f t="shared" si="6"/>
        <v>8.7748802527275807</v>
      </c>
      <c r="R8" s="86">
        <f t="shared" si="6"/>
        <v>8.3389914280138182</v>
      </c>
      <c r="S8" s="86">
        <f t="shared" si="6"/>
        <v>7.9031026033000602</v>
      </c>
      <c r="T8" s="86">
        <f t="shared" si="6"/>
        <v>8.921394922647071</v>
      </c>
      <c r="U8" s="86">
        <f t="shared" si="6"/>
        <v>8.2521595197283819</v>
      </c>
      <c r="V8" s="86">
        <f t="shared" si="6"/>
        <v>8.1212936321712306</v>
      </c>
      <c r="W8" s="86">
        <f t="shared" si="6"/>
        <v>8.0103182306321532</v>
      </c>
      <c r="X8" s="86">
        <f t="shared" si="6"/>
        <v>8.7992347316270187</v>
      </c>
      <c r="Y8" s="86">
        <f t="shared" si="6"/>
        <v>9.0041353324233366</v>
      </c>
      <c r="Z8" s="86">
        <f t="shared" si="6"/>
        <v>9.5507584257798932</v>
      </c>
      <c r="AA8" s="86">
        <f t="shared" si="6"/>
        <v>8.8703454544105504</v>
      </c>
      <c r="AB8" s="86">
        <f t="shared" si="6"/>
        <v>8.7574704434446016</v>
      </c>
      <c r="AC8" s="86">
        <f t="shared" si="6"/>
        <v>8.047707966432494</v>
      </c>
      <c r="AD8" s="86">
        <f t="shared" si="6"/>
        <v>8.1759078435359474</v>
      </c>
      <c r="AE8" s="86">
        <f t="shared" si="6"/>
        <v>7.6680098046553722</v>
      </c>
      <c r="AF8" s="86">
        <f t="shared" si="6"/>
        <v>7.7213809065828345</v>
      </c>
      <c r="AG8" s="86">
        <f t="shared" si="6"/>
        <v>7.6017665168663653</v>
      </c>
      <c r="AH8" s="86">
        <f t="shared" si="6"/>
        <v>7.7580058781924093</v>
      </c>
      <c r="AI8" s="86">
        <f t="shared" si="6"/>
        <v>7.3748809996854261</v>
      </c>
      <c r="AJ8" s="86">
        <f t="shared" si="6"/>
        <v>7.7419763304202247</v>
      </c>
      <c r="AK8" s="86">
        <f t="shared" si="6"/>
        <v>7.6793147736865306</v>
      </c>
      <c r="AL8" s="86">
        <f t="shared" si="6"/>
        <v>7.9834088205872975</v>
      </c>
      <c r="AM8" s="86">
        <f t="shared" si="6"/>
        <v>7.285974344927804</v>
      </c>
      <c r="AN8" s="86">
        <f t="shared" si="6"/>
        <v>8.2482868266968339</v>
      </c>
      <c r="AO8" s="86">
        <f t="shared" si="6"/>
        <v>7.6528652376264787</v>
      </c>
      <c r="AP8" s="86">
        <f t="shared" si="6"/>
        <v>7.3873823582105613</v>
      </c>
      <c r="AQ8" s="86">
        <f t="shared" si="6"/>
        <v>6.7104477964609996</v>
      </c>
      <c r="AR8" s="86">
        <f t="shared" si="6"/>
        <v>7.4213006158952055</v>
      </c>
      <c r="AS8" s="86">
        <f t="shared" si="6"/>
        <v>7.8546534160738117</v>
      </c>
      <c r="AT8" s="86">
        <f t="shared" si="6"/>
        <v>8.0116523589522686</v>
      </c>
      <c r="AU8" s="86">
        <f t="shared" si="6"/>
        <v>7.333665939287064</v>
      </c>
      <c r="AV8" s="86">
        <f t="shared" si="6"/>
        <v>7.7416715707565604</v>
      </c>
      <c r="AW8" s="86">
        <f t="shared" si="6"/>
        <v>7.2008267233467533</v>
      </c>
      <c r="AX8" s="86">
        <f t="shared" si="6"/>
        <v>8.6600029676229262</v>
      </c>
      <c r="AY8" s="86">
        <f t="shared" si="6"/>
        <v>9.3895910897610104</v>
      </c>
      <c r="AZ8" s="86">
        <f t="shared" si="6"/>
        <v>9.7543851508300552</v>
      </c>
      <c r="BA8" s="86">
        <f t="shared" si="6"/>
        <v>10.119179211899098</v>
      </c>
      <c r="BB8" s="86">
        <f t="shared" si="6"/>
        <v>9.2983355070297726</v>
      </c>
      <c r="BC8" s="86">
        <f t="shared" si="6"/>
        <v>8.4927646836770982</v>
      </c>
      <c r="BD8" s="86">
        <f t="shared" si="6"/>
        <v>9.9714175053447214</v>
      </c>
      <c r="BE8" s="86">
        <f t="shared" si="6"/>
        <v>9.2831787445783824</v>
      </c>
      <c r="BF8" s="86">
        <f t="shared" si="6"/>
        <v>9.0635578181505281</v>
      </c>
      <c r="BG8" s="86">
        <f t="shared" si="6"/>
        <v>7.8717719625274984</v>
      </c>
      <c r="BH8" s="86">
        <f t="shared" si="6"/>
        <v>10.058834559066167</v>
      </c>
      <c r="BI8" s="86">
        <f t="shared" si="6"/>
        <v>10.494230051931499</v>
      </c>
      <c r="BJ8" s="86">
        <f t="shared" si="6"/>
        <v>9.9762869565263763</v>
      </c>
      <c r="BK8" s="86">
        <f t="shared" si="6"/>
        <v>9.689683093794411</v>
      </c>
      <c r="BL8" s="86">
        <f t="shared" si="6"/>
        <v>11.005291528973569</v>
      </c>
      <c r="BM8" s="86">
        <f t="shared" si="6"/>
        <v>10.040939331439152</v>
      </c>
      <c r="BN8" s="86">
        <f t="shared" si="6"/>
        <v>10.76499474639863</v>
      </c>
      <c r="BO8" s="86">
        <f t="shared" ref="BO8:CI8" si="7">AVERAGE(BO9:BO13)</f>
        <v>9.7503499333040953</v>
      </c>
      <c r="BP8" s="86">
        <f t="shared" si="7"/>
        <v>11.474686632210094</v>
      </c>
      <c r="BQ8" s="86">
        <f t="shared" si="7"/>
        <v>14.740099192792773</v>
      </c>
      <c r="BR8" s="86">
        <f t="shared" si="7"/>
        <v>13.142520546462686</v>
      </c>
      <c r="BS8" s="86">
        <f t="shared" si="7"/>
        <v>12.239010261367117</v>
      </c>
      <c r="BT8" s="86">
        <f t="shared" si="7"/>
        <v>11.210415298299921</v>
      </c>
      <c r="BU8" s="86">
        <f t="shared" si="7"/>
        <v>10.81530396815042</v>
      </c>
      <c r="BV8" s="86">
        <f t="shared" si="7"/>
        <v>9.3745504211654893</v>
      </c>
      <c r="BW8" s="86">
        <f t="shared" si="7"/>
        <v>7.7668230440387074</v>
      </c>
      <c r="BX8" s="86">
        <f t="shared" si="7"/>
        <v>7.9572849294648407</v>
      </c>
      <c r="BY8" s="86">
        <f t="shared" si="7"/>
        <v>7.8920302075245647</v>
      </c>
      <c r="BZ8" s="86">
        <f t="shared" si="7"/>
        <v>8.3195859058177319</v>
      </c>
      <c r="CA8" s="86">
        <f t="shared" si="7"/>
        <v>7.3829295580802583</v>
      </c>
      <c r="CB8" s="86">
        <f t="shared" si="7"/>
        <v>7.6277104157742768</v>
      </c>
      <c r="CC8" s="86">
        <f t="shared" si="7"/>
        <v>6.8991915062835814</v>
      </c>
      <c r="CD8" s="86">
        <f t="shared" si="7"/>
        <v>6.439874681878015</v>
      </c>
      <c r="CE8" s="86">
        <f t="shared" si="7"/>
        <v>6.7215967231804088</v>
      </c>
      <c r="CF8" s="86">
        <f t="shared" si="7"/>
        <v>8.5420872629976188</v>
      </c>
      <c r="CG8" s="86">
        <f t="shared" si="7"/>
        <v>8.6222153381743247</v>
      </c>
      <c r="CH8" s="86">
        <f t="shared" si="7"/>
        <v>8.0021153214649985</v>
      </c>
      <c r="CI8" s="86">
        <f t="shared" si="7"/>
        <v>7.4228471774752878</v>
      </c>
      <c r="CJ8" s="87">
        <f>AVERAGE(CJ9:CJ13)</f>
        <v>8.7875032165067353</v>
      </c>
    </row>
    <row r="9" spans="1:88" ht="20.149999999999999" customHeight="1" x14ac:dyDescent="0.25">
      <c r="A9" s="66" t="s">
        <v>101</v>
      </c>
      <c r="B9" s="46">
        <v>32.504768283667559</v>
      </c>
      <c r="C9" s="46">
        <v>29.984139279259342</v>
      </c>
      <c r="D9" s="46">
        <v>30.353991121723585</v>
      </c>
      <c r="E9" s="46">
        <v>29.821987115650206</v>
      </c>
      <c r="F9" s="46">
        <v>28.696040746413669</v>
      </c>
      <c r="G9" s="46">
        <v>25.607812259947764</v>
      </c>
      <c r="H9" s="46">
        <v>29.313410833367186</v>
      </c>
      <c r="I9" s="46">
        <v>24.795204841551236</v>
      </c>
      <c r="J9" s="46">
        <v>24.652828848072879</v>
      </c>
      <c r="K9" s="46">
        <v>22.635448289494384</v>
      </c>
      <c r="L9" s="7">
        <v>24.43933822988442</v>
      </c>
      <c r="M9" s="7">
        <v>22.456404069636417</v>
      </c>
      <c r="N9" s="7">
        <v>25.097969471890437</v>
      </c>
      <c r="O9" s="7">
        <v>21.269440091855824</v>
      </c>
      <c r="P9" s="7">
        <v>23.689055358049771</v>
      </c>
      <c r="Q9" s="7">
        <v>20.75388258738078</v>
      </c>
      <c r="R9" s="78">
        <f t="shared" ref="R9:R13" si="8">+(Q9+S9)/2</f>
        <v>18.45194149734666</v>
      </c>
      <c r="S9" s="7">
        <v>16.15000040731254</v>
      </c>
      <c r="T9" s="7">
        <v>20.772109109679235</v>
      </c>
      <c r="U9" s="7">
        <v>18.393701467846871</v>
      </c>
      <c r="V9" s="7">
        <v>18.952864403069405</v>
      </c>
      <c r="W9" s="7">
        <v>18.952864403069405</v>
      </c>
      <c r="X9" s="7">
        <v>20.332229968179291</v>
      </c>
      <c r="Y9" s="7">
        <v>21.305842539384841</v>
      </c>
      <c r="Z9" s="7">
        <v>22.080054832569541</v>
      </c>
      <c r="AA9" s="7">
        <v>20.500659818167236</v>
      </c>
      <c r="AB9" s="7">
        <v>19.29961354964157</v>
      </c>
      <c r="AC9" s="7">
        <v>18.936340597344866</v>
      </c>
      <c r="AD9" s="7">
        <v>20.349351374609771</v>
      </c>
      <c r="AE9" s="7">
        <v>18.46826369068868</v>
      </c>
      <c r="AF9" s="7">
        <v>18.067595927956148</v>
      </c>
      <c r="AG9" s="7">
        <v>17.801742297683639</v>
      </c>
      <c r="AH9" s="7">
        <v>20.154974418315817</v>
      </c>
      <c r="AI9" s="7">
        <v>18.248378838851448</v>
      </c>
      <c r="AJ9" s="7">
        <v>18.598252739014498</v>
      </c>
      <c r="AK9" s="7">
        <v>18.595487345050657</v>
      </c>
      <c r="AL9" s="7">
        <v>20.307883443039866</v>
      </c>
      <c r="AM9" s="7">
        <v>16.732350349541868</v>
      </c>
      <c r="AN9" s="7">
        <v>19.841434133484174</v>
      </c>
      <c r="AO9" s="7">
        <v>19.164326188132396</v>
      </c>
      <c r="AP9" s="7">
        <v>19.399813729410273</v>
      </c>
      <c r="AQ9" s="7">
        <v>17.441115278895655</v>
      </c>
      <c r="AR9" s="7">
        <v>18.225758174395075</v>
      </c>
      <c r="AS9" s="7">
        <v>18.667717414228946</v>
      </c>
      <c r="AT9" s="7">
        <v>20.471823853069747</v>
      </c>
      <c r="AU9" s="7">
        <v>17.664847179069177</v>
      </c>
      <c r="AV9" s="7">
        <v>18.816395239004265</v>
      </c>
      <c r="AW9" s="7">
        <v>19.254568848059129</v>
      </c>
      <c r="AX9" s="78">
        <f t="shared" ref="AX9:AX13" si="9">+(AW9+BA9)/2</f>
        <v>22.166762002622008</v>
      </c>
      <c r="AY9" s="78">
        <f t="shared" ref="AY9:AY13" si="10">+(AX9+BA9)/2</f>
        <v>23.622858579903451</v>
      </c>
      <c r="AZ9" s="78">
        <f t="shared" ref="AZ9:AZ13" si="11">+(AY9+BA9)/2</f>
        <v>24.350906868544172</v>
      </c>
      <c r="BA9" s="28">
        <v>25.07895515718489</v>
      </c>
      <c r="BB9" s="7">
        <v>24.096096152668736</v>
      </c>
      <c r="BC9" s="7">
        <v>22.641247808325897</v>
      </c>
      <c r="BD9" s="7">
        <v>24.135890053624024</v>
      </c>
      <c r="BE9" s="7">
        <v>23.08296957742057</v>
      </c>
      <c r="BF9" s="7">
        <v>23.642280185249046</v>
      </c>
      <c r="BG9" s="7">
        <v>19.282351617202401</v>
      </c>
      <c r="BH9" s="7">
        <v>24.266339503266302</v>
      </c>
      <c r="BI9" s="7">
        <v>25.705779664581552</v>
      </c>
      <c r="BJ9" s="7">
        <v>22.887166911502195</v>
      </c>
      <c r="BK9" s="46">
        <v>21.921601330716019</v>
      </c>
      <c r="BL9" s="7">
        <v>27.000518761888294</v>
      </c>
      <c r="BM9" s="7">
        <v>18.598252739014498</v>
      </c>
      <c r="BN9" s="7">
        <v>26.025852214295437</v>
      </c>
      <c r="BO9" s="7">
        <v>23.328758258587527</v>
      </c>
      <c r="BP9" s="7">
        <v>27.532015743025628</v>
      </c>
      <c r="BQ9" s="7">
        <v>34.891751008294655</v>
      </c>
      <c r="BR9" s="7">
        <v>29.087937974966295</v>
      </c>
      <c r="BS9" s="7">
        <v>30.653619274409476</v>
      </c>
      <c r="BT9" s="7">
        <v>25.813640126479303</v>
      </c>
      <c r="BU9" s="7">
        <v>24.620092278016603</v>
      </c>
      <c r="BV9" s="7">
        <v>22.633348185616946</v>
      </c>
      <c r="BW9" s="7">
        <v>19.747418185469201</v>
      </c>
      <c r="BX9" s="7">
        <v>19.324530553702342</v>
      </c>
      <c r="BY9" s="7">
        <v>17.310677003663713</v>
      </c>
      <c r="BZ9" s="7">
        <v>21.18607677178457</v>
      </c>
      <c r="CA9" s="7">
        <v>18.863544028097976</v>
      </c>
      <c r="CB9" s="7">
        <v>19.472658935692351</v>
      </c>
      <c r="CC9" s="7">
        <v>16.248955351531983</v>
      </c>
      <c r="CD9" s="7">
        <v>17.832013382016346</v>
      </c>
      <c r="CE9" s="7">
        <v>17.789539870132671</v>
      </c>
      <c r="CF9" s="7">
        <v>20.058090848663024</v>
      </c>
      <c r="CG9" s="7">
        <v>19.469448019152814</v>
      </c>
      <c r="CH9" s="7">
        <v>19.3947284146528</v>
      </c>
      <c r="CI9" s="7">
        <v>17.238166376715562</v>
      </c>
      <c r="CJ9" s="7">
        <v>20.559980212713334</v>
      </c>
    </row>
    <row r="10" spans="1:88" ht="20.149999999999999" customHeight="1" x14ac:dyDescent="0.25">
      <c r="A10" s="66" t="s">
        <v>102</v>
      </c>
      <c r="B10" s="46">
        <v>14.13661015005372</v>
      </c>
      <c r="C10" s="46">
        <v>12.775590773550865</v>
      </c>
      <c r="D10" s="46">
        <v>13.164813827664085</v>
      </c>
      <c r="E10" s="46">
        <v>13.077019390014172</v>
      </c>
      <c r="F10" s="46">
        <v>11.829781767536938</v>
      </c>
      <c r="G10" s="46">
        <v>10.55053777905762</v>
      </c>
      <c r="H10" s="46">
        <v>10.787424181171204</v>
      </c>
      <c r="I10" s="46">
        <v>10.703603926944194</v>
      </c>
      <c r="J10" s="46">
        <v>10.876766649897382</v>
      </c>
      <c r="K10" s="46">
        <v>8.7859049719060263</v>
      </c>
      <c r="L10" s="7">
        <v>9.9802474343000611</v>
      </c>
      <c r="M10" s="7">
        <v>9.2456745710280419</v>
      </c>
      <c r="N10" s="7">
        <v>8.622231596986758</v>
      </c>
      <c r="O10" s="7">
        <v>6.726038611367259</v>
      </c>
      <c r="P10" s="7">
        <v>8.9374549129839949</v>
      </c>
      <c r="Q10" s="7">
        <v>7.8162922417801521</v>
      </c>
      <c r="R10" s="78">
        <f t="shared" si="8"/>
        <v>7.3761236570687991</v>
      </c>
      <c r="S10" s="7">
        <v>6.935955072357447</v>
      </c>
      <c r="T10" s="7">
        <v>7.8196905436440751</v>
      </c>
      <c r="U10" s="7">
        <v>8.0717427355250972</v>
      </c>
      <c r="V10" s="7">
        <v>7.3192542832166625</v>
      </c>
      <c r="W10" s="7">
        <v>6.9809424914222733</v>
      </c>
      <c r="X10" s="7">
        <v>8.2608752147755595</v>
      </c>
      <c r="Y10" s="7">
        <v>8.7515778819374557</v>
      </c>
      <c r="Z10" s="7">
        <v>7.6991414938482077</v>
      </c>
      <c r="AA10" s="7">
        <v>8.4870358695485901</v>
      </c>
      <c r="AB10" s="7">
        <v>7.5646923611311205</v>
      </c>
      <c r="AC10" s="7">
        <v>8.3340727108633157</v>
      </c>
      <c r="AD10" s="7">
        <v>6.196334008557983</v>
      </c>
      <c r="AE10" s="7">
        <v>6.9787406323570629</v>
      </c>
      <c r="AF10" s="7">
        <v>7.9038122429911688</v>
      </c>
      <c r="AG10" s="7">
        <v>7.2715728616630546</v>
      </c>
      <c r="AH10" s="7">
        <v>7.2506300486291062</v>
      </c>
      <c r="AI10" s="7">
        <v>6.1077634100178333</v>
      </c>
      <c r="AJ10" s="7">
        <v>6.7767948206507445</v>
      </c>
      <c r="AK10" s="7">
        <v>7.7207742126021568</v>
      </c>
      <c r="AL10" s="7">
        <v>7.5567854231063265</v>
      </c>
      <c r="AM10" s="7">
        <v>7.0391990868717116</v>
      </c>
      <c r="AN10" s="7">
        <v>8.9</v>
      </c>
      <c r="AO10" s="7">
        <v>7.5</v>
      </c>
      <c r="AP10" s="7">
        <v>7.1189469264206302</v>
      </c>
      <c r="AQ10" s="7">
        <v>6.4698372216766806</v>
      </c>
      <c r="AR10" s="7">
        <v>8.1539227229458646</v>
      </c>
      <c r="AS10" s="7">
        <v>8.3955054208556366</v>
      </c>
      <c r="AT10" s="7">
        <v>8.3402612298968481</v>
      </c>
      <c r="AU10" s="7">
        <v>7.0886376277091072</v>
      </c>
      <c r="AV10" s="7">
        <v>7.2600220951769101</v>
      </c>
      <c r="AW10" s="7">
        <v>7.1265827462600324</v>
      </c>
      <c r="AX10" s="78">
        <f t="shared" si="9"/>
        <v>8.7792920342336949</v>
      </c>
      <c r="AY10" s="78">
        <f t="shared" si="10"/>
        <v>9.605646678220527</v>
      </c>
      <c r="AZ10" s="78">
        <f t="shared" si="11"/>
        <v>10.018824000213943</v>
      </c>
      <c r="BA10" s="28">
        <v>10.432001322207357</v>
      </c>
      <c r="BB10" s="7">
        <v>8.9267355351541333</v>
      </c>
      <c r="BC10" s="7">
        <v>7.7565876007271832</v>
      </c>
      <c r="BD10" s="7">
        <v>9.1286417786873937</v>
      </c>
      <c r="BE10" s="7">
        <v>8.5837199516655378</v>
      </c>
      <c r="BF10" s="7">
        <v>7.5303719002736882</v>
      </c>
      <c r="BG10" s="7">
        <v>7.4712536943942949</v>
      </c>
      <c r="BH10" s="7">
        <v>8.9361830528716357</v>
      </c>
      <c r="BI10" s="7">
        <v>10.025072049833931</v>
      </c>
      <c r="BJ10" s="7">
        <v>9.4896181883842594</v>
      </c>
      <c r="BK10" s="46">
        <v>10.706287184268339</v>
      </c>
      <c r="BL10" s="7">
        <v>10.417092804617761</v>
      </c>
      <c r="BM10" s="7">
        <v>11.500364062679786</v>
      </c>
      <c r="BN10" s="7">
        <v>10.901748696591161</v>
      </c>
      <c r="BO10" s="7">
        <v>9.3579255859807411</v>
      </c>
      <c r="BP10" s="7">
        <v>10.760523924313871</v>
      </c>
      <c r="BQ10" s="7">
        <v>13.804000139105648</v>
      </c>
      <c r="BR10" s="7">
        <v>12.589287967289534</v>
      </c>
      <c r="BS10" s="7">
        <v>11.204658717490119</v>
      </c>
      <c r="BT10" s="7">
        <v>11.174766689361139</v>
      </c>
      <c r="BU10" s="7">
        <v>10.754534124422985</v>
      </c>
      <c r="BV10" s="7">
        <v>10.321681903120837</v>
      </c>
      <c r="BW10" s="7">
        <v>8.2578420858933494</v>
      </c>
      <c r="BX10" s="7">
        <v>6.6219648714418637</v>
      </c>
      <c r="BY10" s="7">
        <v>7.6002554631794768</v>
      </c>
      <c r="BZ10" s="7">
        <v>7.456412512965116</v>
      </c>
      <c r="CA10" s="7">
        <v>6.585647595177428</v>
      </c>
      <c r="CB10" s="7">
        <v>7.5366056046427428</v>
      </c>
      <c r="CC10" s="7">
        <v>7.4061093875323714</v>
      </c>
      <c r="CD10" s="7">
        <v>6.2148332434855558</v>
      </c>
      <c r="CE10" s="7">
        <v>5.5714757899325473</v>
      </c>
      <c r="CF10" s="7">
        <v>7.8438270793545248</v>
      </c>
      <c r="CG10" s="7">
        <v>8.3123927037013665</v>
      </c>
      <c r="CH10" s="7">
        <v>8.0810148883438728</v>
      </c>
      <c r="CI10" s="7">
        <v>7.1219788886296005</v>
      </c>
      <c r="CJ10" s="7">
        <v>9.2002247052062867</v>
      </c>
    </row>
    <row r="11" spans="1:88" ht="20.149999999999999" customHeight="1" x14ac:dyDescent="0.25">
      <c r="A11" s="66" t="s">
        <v>103</v>
      </c>
      <c r="B11" s="46">
        <v>10.047357053881241</v>
      </c>
      <c r="C11" s="46">
        <v>8.5991563540488087</v>
      </c>
      <c r="D11" s="46">
        <v>8.0066453362472139</v>
      </c>
      <c r="E11" s="46">
        <v>9.9569119205478156</v>
      </c>
      <c r="F11" s="46">
        <v>8.215766443123746</v>
      </c>
      <c r="G11" s="46">
        <v>6.8262891781459096</v>
      </c>
      <c r="H11" s="46">
        <v>7.2854654758466157</v>
      </c>
      <c r="I11" s="46">
        <v>7.760586608945351</v>
      </c>
      <c r="J11" s="46">
        <v>6.3192982728445184</v>
      </c>
      <c r="K11" s="46">
        <v>5.6586334235138587</v>
      </c>
      <c r="L11" s="7">
        <v>6.9071756094562593</v>
      </c>
      <c r="M11" s="7">
        <v>7.0690657681983637</v>
      </c>
      <c r="N11" s="7">
        <v>5.5916555408738349</v>
      </c>
      <c r="O11" s="7">
        <v>5.335816689047725</v>
      </c>
      <c r="P11" s="7">
        <v>5.662870852236737</v>
      </c>
      <c r="Q11" s="7">
        <v>4.6744160701472426</v>
      </c>
      <c r="R11" s="78">
        <f t="shared" si="8"/>
        <v>4.7541782663371706</v>
      </c>
      <c r="S11" s="7">
        <v>4.8339404625270994</v>
      </c>
      <c r="T11" s="7">
        <v>4.5930796402389724</v>
      </c>
      <c r="U11" s="7">
        <v>5.4002051021172512</v>
      </c>
      <c r="V11" s="7">
        <v>4.8139035091363187</v>
      </c>
      <c r="W11" s="7">
        <v>4.5907519534265218</v>
      </c>
      <c r="X11" s="7">
        <v>4.8933273289374464</v>
      </c>
      <c r="Y11" s="7">
        <v>5.5256202597416371</v>
      </c>
      <c r="Z11" s="7">
        <v>6.1013855371633303</v>
      </c>
      <c r="AA11" s="7">
        <v>5.4456114415013079</v>
      </c>
      <c r="AB11" s="7">
        <v>5.7916862878051845</v>
      </c>
      <c r="AC11" s="7">
        <v>4.9799566957992081</v>
      </c>
      <c r="AD11" s="7">
        <v>4.8984771506795077</v>
      </c>
      <c r="AE11" s="7">
        <v>4.2224031422732624</v>
      </c>
      <c r="AF11" s="7">
        <v>4.6092190626878571</v>
      </c>
      <c r="AG11" s="7">
        <v>4.8774908356468929</v>
      </c>
      <c r="AH11" s="7">
        <v>4.081410186694753</v>
      </c>
      <c r="AI11" s="7">
        <v>3.7508158371129392</v>
      </c>
      <c r="AJ11" s="7">
        <v>4.4744448870564302</v>
      </c>
      <c r="AK11" s="7">
        <v>4.5592146049981581</v>
      </c>
      <c r="AL11" s="7">
        <v>4.6094071745419285</v>
      </c>
      <c r="AM11" s="7">
        <v>4.3792344696423262</v>
      </c>
      <c r="AN11" s="7">
        <v>4.4000000000000004</v>
      </c>
      <c r="AO11" s="7">
        <v>4.0999999999999996</v>
      </c>
      <c r="AP11" s="7">
        <v>3.6506596675551699</v>
      </c>
      <c r="AQ11" s="7">
        <v>3.7924519081575978</v>
      </c>
      <c r="AR11" s="7">
        <v>3.9257132010311486</v>
      </c>
      <c r="AS11" s="7">
        <v>4.7208073925371252</v>
      </c>
      <c r="AT11" s="7">
        <v>4.1741522037922625</v>
      </c>
      <c r="AU11" s="7">
        <v>4.1559642135550678</v>
      </c>
      <c r="AV11" s="7">
        <v>4.3995232785382097</v>
      </c>
      <c r="AW11" s="7">
        <v>3.7647876746969318</v>
      </c>
      <c r="AX11" s="78">
        <f t="shared" si="9"/>
        <v>4.5636761594757687</v>
      </c>
      <c r="AY11" s="78">
        <f t="shared" si="10"/>
        <v>4.9631204018651864</v>
      </c>
      <c r="AZ11" s="78">
        <f t="shared" si="11"/>
        <v>5.1628425230598953</v>
      </c>
      <c r="BA11" s="28">
        <v>5.3625646442546051</v>
      </c>
      <c r="BB11" s="7">
        <v>5.2532511013877814</v>
      </c>
      <c r="BC11" s="7">
        <v>4.180064308681672</v>
      </c>
      <c r="BD11" s="7">
        <v>6.0249168384340779</v>
      </c>
      <c r="BE11" s="7">
        <v>6.3093818997336637</v>
      </c>
      <c r="BF11" s="7">
        <v>5.4574647272534671</v>
      </c>
      <c r="BG11" s="7">
        <v>4.6803660840345565</v>
      </c>
      <c r="BH11" s="7">
        <v>5.9500093889643626</v>
      </c>
      <c r="BI11" s="7">
        <v>6.3323014473369605</v>
      </c>
      <c r="BJ11" s="7">
        <v>5.9964875850490413</v>
      </c>
      <c r="BK11" s="46">
        <v>6.061686483714344</v>
      </c>
      <c r="BL11" s="7">
        <v>6.5555331754772368</v>
      </c>
      <c r="BM11" s="7">
        <v>7.4638537530173119</v>
      </c>
      <c r="BN11" s="7">
        <v>6.6514252519399868</v>
      </c>
      <c r="BO11" s="7">
        <v>6.2356576560157073</v>
      </c>
      <c r="BP11" s="7">
        <v>6.4963012255692103</v>
      </c>
      <c r="BQ11" s="7">
        <v>10.017105563960909</v>
      </c>
      <c r="BR11" s="7">
        <v>7.7064176784080463</v>
      </c>
      <c r="BS11" s="7">
        <v>6.6857886320307758</v>
      </c>
      <c r="BT11" s="7">
        <v>6.9255515819280191</v>
      </c>
      <c r="BU11" s="7">
        <v>6.4442478996751085</v>
      </c>
      <c r="BV11" s="7">
        <v>4.6522202082338797</v>
      </c>
      <c r="BW11" s="7">
        <v>4.3713461928516963</v>
      </c>
      <c r="BX11" s="7">
        <v>4.8906288516418952</v>
      </c>
      <c r="BY11" s="7">
        <v>4.0541820277243108</v>
      </c>
      <c r="BZ11" s="7">
        <v>3.9452250571698313</v>
      </c>
      <c r="CA11" s="7">
        <v>3.4865489998214176</v>
      </c>
      <c r="CB11" s="7">
        <v>4.3273831708813706</v>
      </c>
      <c r="CC11" s="7">
        <v>4.1281925516354008</v>
      </c>
      <c r="CD11" s="7">
        <v>3.7118689990410765</v>
      </c>
      <c r="CE11" s="7">
        <v>3.4645882174855722</v>
      </c>
      <c r="CF11" s="7">
        <v>5.564740838535255</v>
      </c>
      <c r="CG11" s="7">
        <v>4.7867212735720104</v>
      </c>
      <c r="CH11" s="7">
        <v>4.1935724339297193</v>
      </c>
      <c r="CI11" s="7">
        <v>3.9726142707778136</v>
      </c>
      <c r="CJ11" s="7">
        <v>5.336220840108763</v>
      </c>
    </row>
    <row r="12" spans="1:88" ht="20.149999999999999" customHeight="1" x14ac:dyDescent="0.25">
      <c r="A12" s="66" t="s">
        <v>104</v>
      </c>
      <c r="B12" s="46">
        <v>12.130520200963586</v>
      </c>
      <c r="C12" s="46">
        <v>9.6931972849183303</v>
      </c>
      <c r="D12" s="46">
        <v>10.282297974326102</v>
      </c>
      <c r="E12" s="46">
        <v>9.3831741266859012</v>
      </c>
      <c r="F12" s="46">
        <v>8.258375415144716</v>
      </c>
      <c r="G12" s="46">
        <v>9.0745592330315006</v>
      </c>
      <c r="H12" s="46">
        <v>10.081485874442555</v>
      </c>
      <c r="I12" s="46">
        <v>9.5950332357263299</v>
      </c>
      <c r="J12" s="46">
        <v>7.4839748585734807</v>
      </c>
      <c r="K12" s="46">
        <v>7.1141423921877838</v>
      </c>
      <c r="L12" s="7">
        <v>8.963391233701115</v>
      </c>
      <c r="M12" s="7">
        <v>6.8215357295078327</v>
      </c>
      <c r="N12" s="7">
        <v>6.7101855947510041</v>
      </c>
      <c r="O12" s="7">
        <v>5.3646308708104211</v>
      </c>
      <c r="P12" s="7">
        <v>6.0791360819195637</v>
      </c>
      <c r="Q12" s="7">
        <v>5.4967716357045759</v>
      </c>
      <c r="R12" s="78">
        <f t="shared" si="8"/>
        <v>5.1961619736599669</v>
      </c>
      <c r="S12" s="7">
        <v>4.8955523116153588</v>
      </c>
      <c r="T12" s="7">
        <v>5.2337782158472921</v>
      </c>
      <c r="U12" s="7">
        <v>4.2381513443991246</v>
      </c>
      <c r="V12" s="7">
        <v>4.1629241805719666</v>
      </c>
      <c r="W12" s="7">
        <v>4.9237906483957294</v>
      </c>
      <c r="X12" s="7">
        <v>5.0009562943512158</v>
      </c>
      <c r="Y12" s="7">
        <v>5.2345849043823796</v>
      </c>
      <c r="Z12" s="7">
        <v>5.8633418981889012</v>
      </c>
      <c r="AA12" s="7">
        <v>4.4826102685948399</v>
      </c>
      <c r="AB12" s="7">
        <v>4.958803414276562</v>
      </c>
      <c r="AC12" s="7">
        <v>4.2644724703617332</v>
      </c>
      <c r="AD12" s="7">
        <v>3.9082316447348919</v>
      </c>
      <c r="AE12" s="7">
        <v>4.3376130310096928</v>
      </c>
      <c r="AF12" s="7">
        <v>3.7265508807200241</v>
      </c>
      <c r="AG12" s="7">
        <v>4.2902196942904141</v>
      </c>
      <c r="AH12" s="7">
        <v>4.4809138136179119</v>
      </c>
      <c r="AI12" s="7">
        <v>4.4425608786289095</v>
      </c>
      <c r="AJ12" s="7">
        <v>4.5589878271806432</v>
      </c>
      <c r="AK12" s="7">
        <v>3.841355199243758</v>
      </c>
      <c r="AL12" s="7">
        <v>4.3857537057942082</v>
      </c>
      <c r="AM12" s="7">
        <v>4.9083875200081142</v>
      </c>
      <c r="AN12" s="7">
        <v>4.3</v>
      </c>
      <c r="AO12" s="7">
        <v>3.6</v>
      </c>
      <c r="AP12" s="7">
        <v>3.8471321931604843</v>
      </c>
      <c r="AQ12" s="7">
        <v>2.6042898803521299</v>
      </c>
      <c r="AR12" s="7">
        <v>3.6740902573317515</v>
      </c>
      <c r="AS12" s="7">
        <v>3.4779221254578587</v>
      </c>
      <c r="AT12" s="7">
        <v>4.0731873400804925</v>
      </c>
      <c r="AU12" s="7">
        <v>3.9862963325884087</v>
      </c>
      <c r="AV12" s="7">
        <v>3.797591353404866</v>
      </c>
      <c r="AW12" s="7">
        <v>3.2185095232008178</v>
      </c>
      <c r="AX12" s="78">
        <f t="shared" si="9"/>
        <v>4.30124501354614</v>
      </c>
      <c r="AY12" s="78">
        <f t="shared" si="10"/>
        <v>4.8426127587188015</v>
      </c>
      <c r="AZ12" s="78">
        <f t="shared" si="11"/>
        <v>5.1132966313051327</v>
      </c>
      <c r="BA12" s="28">
        <v>5.383980503891463</v>
      </c>
      <c r="BB12" s="7">
        <v>4.5895564464744281</v>
      </c>
      <c r="BC12" s="7">
        <v>3.9266963280631804</v>
      </c>
      <c r="BD12" s="7">
        <v>5.5183936828025679</v>
      </c>
      <c r="BE12" s="7">
        <v>4.5079238306005784</v>
      </c>
      <c r="BF12" s="7">
        <v>3.9787323856904226</v>
      </c>
      <c r="BG12" s="7">
        <v>3.851860840485493</v>
      </c>
      <c r="BH12" s="7">
        <v>5.1828913329959558</v>
      </c>
      <c r="BI12" s="7">
        <v>5.0326396200227004</v>
      </c>
      <c r="BJ12" s="7">
        <v>5.1799213709659799</v>
      </c>
      <c r="BK12" s="46">
        <v>4.8336898144911578</v>
      </c>
      <c r="BL12" s="7">
        <v>6.0657874651251493</v>
      </c>
      <c r="BM12" s="7">
        <v>6.2344216998989381</v>
      </c>
      <c r="BN12" s="7">
        <v>4.9232133135082536</v>
      </c>
      <c r="BO12" s="7">
        <v>5.1366893105655471</v>
      </c>
      <c r="BP12" s="7">
        <v>7.2828100852964024</v>
      </c>
      <c r="BQ12" s="7">
        <v>8.5213958297622927</v>
      </c>
      <c r="BR12" s="7">
        <v>9.7804326641215837</v>
      </c>
      <c r="BS12" s="7">
        <v>6.5509562433461248</v>
      </c>
      <c r="BT12" s="7">
        <v>5.8502108188076472</v>
      </c>
      <c r="BU12" s="7">
        <v>5.8095722786951844</v>
      </c>
      <c r="BV12" s="7">
        <v>5.1839557163054426</v>
      </c>
      <c r="BW12" s="7">
        <v>3.511249081315885</v>
      </c>
      <c r="BX12" s="7">
        <v>4.5759571526740608</v>
      </c>
      <c r="BY12" s="7">
        <v>5.5703630615835023</v>
      </c>
      <c r="BZ12" s="7">
        <v>4.5387846101650728</v>
      </c>
      <c r="CA12" s="7">
        <v>4.4915482064495853</v>
      </c>
      <c r="CB12" s="7">
        <v>4.0850702483192602</v>
      </c>
      <c r="CC12" s="7">
        <v>3.1110111445854791</v>
      </c>
      <c r="CD12" s="7">
        <v>2.4734818312830096</v>
      </c>
      <c r="CE12" s="7">
        <v>3.1923575520361895</v>
      </c>
      <c r="CF12" s="7">
        <v>3.8516076229809655</v>
      </c>
      <c r="CG12" s="7">
        <v>5.1697821718555792</v>
      </c>
      <c r="CH12" s="7">
        <v>3.5625190774347129</v>
      </c>
      <c r="CI12" s="7">
        <v>4.03852332371636</v>
      </c>
      <c r="CJ12" s="7">
        <v>4.1100073235373404</v>
      </c>
    </row>
    <row r="13" spans="1:88" ht="20.149999999999999" customHeight="1" thickBot="1" x14ac:dyDescent="0.3">
      <c r="A13" s="66" t="s">
        <v>105</v>
      </c>
      <c r="B13" s="46">
        <v>14.783241111461004</v>
      </c>
      <c r="C13" s="46">
        <v>12.556674034101997</v>
      </c>
      <c r="D13" s="46">
        <v>11.847908295911132</v>
      </c>
      <c r="E13" s="46">
        <v>11.520478751051344</v>
      </c>
      <c r="F13" s="46">
        <v>10.511393380988189</v>
      </c>
      <c r="G13" s="46">
        <v>10.436907117683342</v>
      </c>
      <c r="H13" s="46">
        <v>10.603596492553709</v>
      </c>
      <c r="I13" s="46">
        <v>8.4763091020345058</v>
      </c>
      <c r="J13" s="46">
        <v>8.1696148032405436</v>
      </c>
      <c r="K13" s="46">
        <v>8.2763381142574115</v>
      </c>
      <c r="L13" s="7">
        <v>8.5148110840382536</v>
      </c>
      <c r="M13" s="7">
        <v>7.7788130788750145</v>
      </c>
      <c r="N13" s="7">
        <v>6.639747430049697</v>
      </c>
      <c r="O13" s="7">
        <v>6.4003290616551327</v>
      </c>
      <c r="P13" s="7">
        <v>4.9991947173457882</v>
      </c>
      <c r="Q13" s="7">
        <v>5.1330387286251469</v>
      </c>
      <c r="R13" s="78">
        <f t="shared" si="8"/>
        <v>5.9165517456564984</v>
      </c>
      <c r="S13" s="7">
        <v>6.70006476268785</v>
      </c>
      <c r="T13" s="7">
        <v>6.1883171038257787</v>
      </c>
      <c r="U13" s="7">
        <v>5.1569969487535632</v>
      </c>
      <c r="V13" s="7">
        <v>5.3575217848618006</v>
      </c>
      <c r="W13" s="7">
        <v>4.6032416568468326</v>
      </c>
      <c r="X13" s="7">
        <v>5.5087848518915754</v>
      </c>
      <c r="Y13" s="7">
        <v>4.2030510766703681</v>
      </c>
      <c r="Z13" s="7">
        <v>6.009868367129485</v>
      </c>
      <c r="AA13" s="7">
        <v>5.4358098742407819</v>
      </c>
      <c r="AB13" s="7">
        <v>6.1725566043685749</v>
      </c>
      <c r="AC13" s="7">
        <v>3.7236973577933439</v>
      </c>
      <c r="AD13" s="7">
        <v>5.5271450390975838</v>
      </c>
      <c r="AE13" s="7">
        <v>4.333028526948163</v>
      </c>
      <c r="AF13" s="7">
        <v>4.2997264185589721</v>
      </c>
      <c r="AG13" s="7">
        <v>3.7678068950478276</v>
      </c>
      <c r="AH13" s="7">
        <v>2.8221009237044616</v>
      </c>
      <c r="AI13" s="7">
        <v>4.3248860338159982</v>
      </c>
      <c r="AJ13" s="7">
        <v>4.3014013781988094</v>
      </c>
      <c r="AK13" s="7">
        <v>3.6797425065379197</v>
      </c>
      <c r="AL13" s="7">
        <v>3.0572143564541627</v>
      </c>
      <c r="AM13" s="7">
        <v>3.370700298575005</v>
      </c>
      <c r="AN13" s="7">
        <v>3.8</v>
      </c>
      <c r="AO13" s="7">
        <v>3.9</v>
      </c>
      <c r="AP13" s="7">
        <v>2.9203592745062483</v>
      </c>
      <c r="AQ13" s="7">
        <v>3.2445446932229367</v>
      </c>
      <c r="AR13" s="7">
        <v>3.1270187237721916</v>
      </c>
      <c r="AS13" s="7">
        <v>4.0113147272894922</v>
      </c>
      <c r="AT13" s="7">
        <v>2.9988371679219932</v>
      </c>
      <c r="AU13" s="7">
        <v>3.7725843435135595</v>
      </c>
      <c r="AV13" s="7">
        <v>4.4348258876585493</v>
      </c>
      <c r="AW13" s="7">
        <v>2.6396848245168543</v>
      </c>
      <c r="AX13" s="78">
        <f t="shared" si="9"/>
        <v>3.4890396282370144</v>
      </c>
      <c r="AY13" s="78">
        <f t="shared" si="10"/>
        <v>3.9137170300970947</v>
      </c>
      <c r="AZ13" s="78">
        <f t="shared" si="11"/>
        <v>4.1260557310271349</v>
      </c>
      <c r="BA13" s="28">
        <v>4.338394431957175</v>
      </c>
      <c r="BB13" s="7">
        <v>3.6260382994637887</v>
      </c>
      <c r="BC13" s="7">
        <v>3.9592273725875566</v>
      </c>
      <c r="BD13" s="7">
        <v>5.0492451731755361</v>
      </c>
      <c r="BE13" s="7">
        <v>3.9318984634715641</v>
      </c>
      <c r="BF13" s="7">
        <v>4.7089398922860193</v>
      </c>
      <c r="BG13" s="7">
        <v>4.0730275765207429</v>
      </c>
      <c r="BH13" s="7">
        <v>5.9587495172325822</v>
      </c>
      <c r="BI13" s="7">
        <v>5.3753574778823632</v>
      </c>
      <c r="BJ13" s="7">
        <v>6.3282407267304039</v>
      </c>
      <c r="BK13" s="46">
        <v>4.9251506557821916</v>
      </c>
      <c r="BL13" s="7">
        <v>4.9875254377594072</v>
      </c>
      <c r="BM13" s="7">
        <v>6.4078044025852225</v>
      </c>
      <c r="BN13" s="7">
        <v>5.3227342556583093</v>
      </c>
      <c r="BO13" s="7">
        <v>4.69271885537096</v>
      </c>
      <c r="BP13" s="7">
        <v>5.3017821828453586</v>
      </c>
      <c r="BQ13" s="7">
        <v>6.4662434228403454</v>
      </c>
      <c r="BR13" s="7">
        <v>6.5485264475279639</v>
      </c>
      <c r="BS13" s="7">
        <v>6.1000284395590842</v>
      </c>
      <c r="BT13" s="7">
        <v>6.287907274923497</v>
      </c>
      <c r="BU13" s="7">
        <v>6.4480732599422286</v>
      </c>
      <c r="BV13" s="7">
        <v>4.0815460925503384</v>
      </c>
      <c r="BW13" s="7">
        <v>2.9462596746634082</v>
      </c>
      <c r="BX13" s="7">
        <v>4.3733432178640426</v>
      </c>
      <c r="BY13" s="7">
        <v>4.9246734814718218</v>
      </c>
      <c r="BZ13" s="7">
        <v>4.4714305770040719</v>
      </c>
      <c r="CA13" s="7">
        <v>3.4873589608548876</v>
      </c>
      <c r="CB13" s="7">
        <v>2.7168341193356573</v>
      </c>
      <c r="CC13" s="7">
        <v>3.6016890961326729</v>
      </c>
      <c r="CD13" s="7">
        <v>1.9671759535640896</v>
      </c>
      <c r="CE13" s="7">
        <v>3.5900221863150574</v>
      </c>
      <c r="CF13" s="7">
        <v>5.3921699254543283</v>
      </c>
      <c r="CG13" s="7">
        <v>5.3727325225898497</v>
      </c>
      <c r="CH13" s="7">
        <v>4.7787417929638831</v>
      </c>
      <c r="CI13" s="7">
        <v>4.7429530275371032</v>
      </c>
      <c r="CJ13" s="7">
        <v>4.7310830009679528</v>
      </c>
    </row>
    <row r="14" spans="1:88" ht="30" customHeight="1" thickBot="1" x14ac:dyDescent="0.3">
      <c r="A14" s="85" t="s">
        <v>106</v>
      </c>
      <c r="B14" s="86">
        <f>AVERAGE(B15:B18)</f>
        <v>18.984828320989273</v>
      </c>
      <c r="C14" s="86">
        <f t="shared" ref="C14:BN14" si="12">AVERAGE(C15:C18)</f>
        <v>17.377504506220042</v>
      </c>
      <c r="D14" s="86">
        <f t="shared" si="12"/>
        <v>16.834078344184391</v>
      </c>
      <c r="E14" s="86">
        <f t="shared" si="12"/>
        <v>17.214555684834806</v>
      </c>
      <c r="F14" s="86">
        <f t="shared" si="12"/>
        <v>15.221680783410356</v>
      </c>
      <c r="G14" s="86">
        <f t="shared" si="12"/>
        <v>13.994282496796082</v>
      </c>
      <c r="H14" s="86">
        <f t="shared" si="12"/>
        <v>15.432500083026735</v>
      </c>
      <c r="I14" s="86">
        <f t="shared" si="12"/>
        <v>14.155916900422</v>
      </c>
      <c r="J14" s="86">
        <f t="shared" si="12"/>
        <v>13.034810710658057</v>
      </c>
      <c r="K14" s="86">
        <f t="shared" si="12"/>
        <v>11.984983262877156</v>
      </c>
      <c r="L14" s="86">
        <f t="shared" si="12"/>
        <v>13.40102534599427</v>
      </c>
      <c r="M14" s="86">
        <f t="shared" si="12"/>
        <v>12.170004805211846</v>
      </c>
      <c r="N14" s="86">
        <f t="shared" si="12"/>
        <v>11.888632935360867</v>
      </c>
      <c r="O14" s="86">
        <f t="shared" si="12"/>
        <v>10.082562258019015</v>
      </c>
      <c r="P14" s="86">
        <f t="shared" si="12"/>
        <v>11.917781061757431</v>
      </c>
      <c r="Q14" s="86">
        <f t="shared" si="12"/>
        <v>10.005392256095869</v>
      </c>
      <c r="R14" s="86">
        <f t="shared" si="12"/>
        <v>9.226763829867723</v>
      </c>
      <c r="S14" s="86">
        <f t="shared" si="12"/>
        <v>8.4481354036395775</v>
      </c>
      <c r="T14" s="86">
        <f t="shared" si="12"/>
        <v>10.064897181699207</v>
      </c>
      <c r="U14" s="86">
        <f t="shared" si="12"/>
        <v>9.7076984231212968</v>
      </c>
      <c r="V14" s="86">
        <f t="shared" si="12"/>
        <v>8.9741342343259216</v>
      </c>
      <c r="W14" s="86">
        <f t="shared" si="12"/>
        <v>8.5905777754359853</v>
      </c>
      <c r="X14" s="86">
        <f t="shared" si="12"/>
        <v>9.5928501178600349</v>
      </c>
      <c r="Y14" s="86">
        <f t="shared" si="12"/>
        <v>10.323760097658276</v>
      </c>
      <c r="Z14" s="86">
        <f t="shared" si="12"/>
        <v>10.611401718782275</v>
      </c>
      <c r="AA14" s="86">
        <f t="shared" si="12"/>
        <v>9.9354036443819407</v>
      </c>
      <c r="AB14" s="86">
        <f t="shared" si="12"/>
        <v>9.6841587999179541</v>
      </c>
      <c r="AC14" s="86">
        <f t="shared" si="12"/>
        <v>9.282207240038419</v>
      </c>
      <c r="AD14" s="86">
        <f t="shared" si="12"/>
        <v>8.8723152502633766</v>
      </c>
      <c r="AE14" s="86">
        <f t="shared" si="12"/>
        <v>8.7428191886840843</v>
      </c>
      <c r="AF14" s="86">
        <f t="shared" si="12"/>
        <v>8.9906844566224926</v>
      </c>
      <c r="AG14" s="86">
        <f t="shared" si="12"/>
        <v>9.0932799337538732</v>
      </c>
      <c r="AH14" s="86">
        <f t="shared" si="12"/>
        <v>8.6421461772320587</v>
      </c>
      <c r="AI14" s="86">
        <f t="shared" si="12"/>
        <v>8.3499352845920072</v>
      </c>
      <c r="AJ14" s="86">
        <f t="shared" si="12"/>
        <v>8.8482832511812308</v>
      </c>
      <c r="AK14" s="86">
        <f t="shared" si="12"/>
        <v>8.9485555751373571</v>
      </c>
      <c r="AL14" s="86">
        <f t="shared" si="12"/>
        <v>8.9030851386794403</v>
      </c>
      <c r="AM14" s="86">
        <f t="shared" si="12"/>
        <v>8.1330795588607181</v>
      </c>
      <c r="AN14" s="86">
        <f t="shared" si="12"/>
        <v>9.7250000000000014</v>
      </c>
      <c r="AO14" s="86">
        <f t="shared" si="12"/>
        <v>8.5500000000000007</v>
      </c>
      <c r="AP14" s="86">
        <f t="shared" si="12"/>
        <v>7.9765208710448796</v>
      </c>
      <c r="AQ14" s="86">
        <f t="shared" si="12"/>
        <v>7.8678435041260446</v>
      </c>
      <c r="AR14" s="86">
        <f t="shared" si="12"/>
        <v>8.9083811738621304</v>
      </c>
      <c r="AS14" s="86">
        <f t="shared" si="12"/>
        <v>9.2416302449299295</v>
      </c>
      <c r="AT14" s="86">
        <f t="shared" si="12"/>
        <v>8.8182460515523378</v>
      </c>
      <c r="AU14" s="86">
        <f t="shared" si="12"/>
        <v>8.5574718178951539</v>
      </c>
      <c r="AV14" s="86">
        <f t="shared" si="12"/>
        <v>8.588919137380282</v>
      </c>
      <c r="AW14" s="86">
        <f t="shared" si="12"/>
        <v>7.9640054718390791</v>
      </c>
      <c r="AX14" s="86">
        <f t="shared" si="12"/>
        <v>9.4313067227153624</v>
      </c>
      <c r="AY14" s="86">
        <f t="shared" si="12"/>
        <v>10.164957348153504</v>
      </c>
      <c r="AZ14" s="86">
        <f t="shared" si="12"/>
        <v>10.531782660872572</v>
      </c>
      <c r="BA14" s="86">
        <f t="shared" si="12"/>
        <v>10.898607973591645</v>
      </c>
      <c r="BB14" s="86">
        <f t="shared" si="12"/>
        <v>9.684809985731393</v>
      </c>
      <c r="BC14" s="86">
        <f t="shared" si="12"/>
        <v>9.1012846993245908</v>
      </c>
      <c r="BD14" s="86">
        <f t="shared" si="12"/>
        <v>10.983434954585444</v>
      </c>
      <c r="BE14" s="86">
        <f t="shared" si="12"/>
        <v>10.12971687473161</v>
      </c>
      <c r="BF14" s="86">
        <f t="shared" si="12"/>
        <v>9.389894452523837</v>
      </c>
      <c r="BG14" s="86">
        <f t="shared" si="12"/>
        <v>8.6893043797659146</v>
      </c>
      <c r="BH14" s="86">
        <f t="shared" si="12"/>
        <v>10.86236582492255</v>
      </c>
      <c r="BI14" s="86">
        <f t="shared" si="12"/>
        <v>11.283756720728718</v>
      </c>
      <c r="BJ14" s="86">
        <f t="shared" si="12"/>
        <v>10.777908478160608</v>
      </c>
      <c r="BK14" s="86">
        <f t="shared" si="12"/>
        <v>10.821819524627898</v>
      </c>
      <c r="BL14" s="86">
        <f t="shared" si="12"/>
        <v>12.26832902223043</v>
      </c>
      <c r="BM14" s="86">
        <f t="shared" si="12"/>
        <v>12.424343351443854</v>
      </c>
      <c r="BN14" s="86">
        <f t="shared" si="12"/>
        <v>11.898967660112822</v>
      </c>
      <c r="BO14" s="86">
        <f t="shared" ref="BO14:CJ14" si="13">AVERAGE(BO15:BO18)</f>
        <v>10.701027586943317</v>
      </c>
      <c r="BP14" s="86">
        <f t="shared" si="13"/>
        <v>12.559808365305717</v>
      </c>
      <c r="BQ14" s="86">
        <f t="shared" si="13"/>
        <v>16.412197298177297</v>
      </c>
      <c r="BR14" s="86">
        <f t="shared" si="13"/>
        <v>14.466004839886981</v>
      </c>
      <c r="BS14" s="86">
        <f t="shared" si="13"/>
        <v>12.639714591675418</v>
      </c>
      <c r="BT14" s="86">
        <f t="shared" si="13"/>
        <v>12.036140121223214</v>
      </c>
      <c r="BU14" s="86">
        <f t="shared" si="13"/>
        <v>10.783538818048026</v>
      </c>
      <c r="BV14" s="86">
        <f t="shared" si="13"/>
        <v>9.9971586269228236</v>
      </c>
      <c r="BW14" s="86">
        <f t="shared" si="13"/>
        <v>8.1818288639929762</v>
      </c>
      <c r="BX14" s="86">
        <f t="shared" si="13"/>
        <v>8.9516450815456334</v>
      </c>
      <c r="BY14" s="86">
        <f t="shared" si="13"/>
        <v>7.9461004311750862</v>
      </c>
      <c r="BZ14" s="86">
        <f t="shared" si="13"/>
        <v>8.6512221752930181</v>
      </c>
      <c r="CA14" s="86">
        <f t="shared" si="13"/>
        <v>7.5911459957578327</v>
      </c>
      <c r="CB14" s="86">
        <f t="shared" si="13"/>
        <v>8.70406207561504</v>
      </c>
      <c r="CC14" s="86">
        <f t="shared" si="13"/>
        <v>7.7536348359996587</v>
      </c>
      <c r="CD14" s="86">
        <f t="shared" si="13"/>
        <v>7.2536541798454941</v>
      </c>
      <c r="CE14" s="86">
        <f t="shared" si="13"/>
        <v>7.337728999524618</v>
      </c>
      <c r="CF14" s="86">
        <f t="shared" si="13"/>
        <v>8.8497898312530072</v>
      </c>
      <c r="CG14" s="86">
        <f t="shared" si="13"/>
        <v>9.0863099747504776</v>
      </c>
      <c r="CH14" s="86">
        <f t="shared" si="13"/>
        <v>8.5839733408486953</v>
      </c>
      <c r="CI14" s="86">
        <f t="shared" si="13"/>
        <v>7.9763702552563256</v>
      </c>
      <c r="CJ14" s="87">
        <f t="shared" si="13"/>
        <v>10.206881031772124</v>
      </c>
    </row>
    <row r="15" spans="1:88" ht="20.149999999999999" customHeight="1" x14ac:dyDescent="0.25">
      <c r="A15" s="66" t="s">
        <v>107</v>
      </c>
      <c r="B15" s="46">
        <v>9.357808505637971</v>
      </c>
      <c r="C15" s="46">
        <v>7.6137789904502036</v>
      </c>
      <c r="D15" s="46">
        <v>7.5008214776499438</v>
      </c>
      <c r="E15" s="46">
        <v>8.592072774629834</v>
      </c>
      <c r="F15" s="46">
        <v>7.0841901417023525</v>
      </c>
      <c r="G15" s="46">
        <v>6.1685626589453157</v>
      </c>
      <c r="H15" s="46">
        <v>6.9754011756013323</v>
      </c>
      <c r="I15" s="46">
        <v>7.0056175509776875</v>
      </c>
      <c r="J15" s="46">
        <v>5.7668023836787254</v>
      </c>
      <c r="K15" s="46">
        <v>5.3647327760327768</v>
      </c>
      <c r="L15" s="7">
        <v>6.533880079144323</v>
      </c>
      <c r="M15" s="7">
        <v>5.7776407044514562</v>
      </c>
      <c r="N15" s="7">
        <v>5.2928903442446362</v>
      </c>
      <c r="O15" s="7">
        <v>4.2278748262561825</v>
      </c>
      <c r="P15" s="7">
        <v>4.819644739369374</v>
      </c>
      <c r="Q15" s="7">
        <v>4.2469835588173908</v>
      </c>
      <c r="R15" s="78">
        <f t="shared" ref="R15:R18" si="14">+(Q15+S15)/2</f>
        <v>4.3726609495016175</v>
      </c>
      <c r="S15" s="7">
        <v>4.4983383401858443</v>
      </c>
      <c r="T15" s="7">
        <v>3.9633890768953406</v>
      </c>
      <c r="U15" s="7">
        <v>4.0924639973466004</v>
      </c>
      <c r="V15" s="7">
        <v>4.2494385710353368</v>
      </c>
      <c r="W15" s="7">
        <v>3.8938278602572609</v>
      </c>
      <c r="X15" s="7">
        <v>4.6314962555243699</v>
      </c>
      <c r="Y15" s="7">
        <v>4.888923998995045</v>
      </c>
      <c r="Z15" s="7">
        <v>5.1156026737750304</v>
      </c>
      <c r="AA15" s="7">
        <v>4.5369918315451629</v>
      </c>
      <c r="AB15" s="7">
        <v>4.7422506707352072</v>
      </c>
      <c r="AC15" s="7">
        <v>4.312485319034411</v>
      </c>
      <c r="AD15" s="7">
        <v>4.2310500968027203</v>
      </c>
      <c r="AE15" s="7">
        <v>4.0417946914515754</v>
      </c>
      <c r="AF15" s="7">
        <v>3.7568874260016156</v>
      </c>
      <c r="AG15" s="7">
        <v>4.0480527115930762</v>
      </c>
      <c r="AH15" s="7">
        <v>3.9582171983161323</v>
      </c>
      <c r="AI15" s="7">
        <v>3.3644561714329924</v>
      </c>
      <c r="AJ15" s="7">
        <v>4.1334319259379075</v>
      </c>
      <c r="AK15" s="7">
        <v>3.8309303356701636</v>
      </c>
      <c r="AL15" s="7">
        <v>3.7383752982031031</v>
      </c>
      <c r="AM15" s="7">
        <v>3.4680580092066116</v>
      </c>
      <c r="AN15" s="7">
        <v>4.0999999999999996</v>
      </c>
      <c r="AO15" s="7">
        <v>3.8</v>
      </c>
      <c r="AP15" s="7">
        <v>3.4614518895403874</v>
      </c>
      <c r="AQ15" s="7">
        <v>3.4023120810916478</v>
      </c>
      <c r="AR15" s="7">
        <v>3.5463914858776757</v>
      </c>
      <c r="AS15" s="7">
        <v>3.8943980380841867</v>
      </c>
      <c r="AT15" s="7">
        <v>4.1059614060753935</v>
      </c>
      <c r="AU15" s="7">
        <v>3.78014806131202</v>
      </c>
      <c r="AV15" s="7">
        <v>3.9270621060923245</v>
      </c>
      <c r="AW15" s="7">
        <v>3.2949235089621784</v>
      </c>
      <c r="AX15" s="78">
        <f t="shared" ref="AX15:AX18" si="15">+(AW15+BA15)/2</f>
        <v>4.3969280638055794</v>
      </c>
      <c r="AY15" s="78">
        <f t="shared" ref="AY15:AY18" si="16">+(AX15+BA15)/2</f>
        <v>4.9479303412272797</v>
      </c>
      <c r="AZ15" s="78">
        <f t="shared" ref="AZ15:AZ18" si="17">+(AY15+BA15)/2</f>
        <v>5.2234314799381298</v>
      </c>
      <c r="BA15" s="28">
        <v>5.49893261864898</v>
      </c>
      <c r="BB15" s="7">
        <v>5.0375216633394704</v>
      </c>
      <c r="BC15" s="7">
        <v>3.5580595858505886</v>
      </c>
      <c r="BD15" s="7">
        <v>5.5295894990771624</v>
      </c>
      <c r="BE15" s="7">
        <v>5.1203488967384203</v>
      </c>
      <c r="BF15" s="7">
        <v>4.1818897947271463</v>
      </c>
      <c r="BG15" s="7">
        <v>3.9947212647278461</v>
      </c>
      <c r="BH15" s="7">
        <v>4.5831769160959714</v>
      </c>
      <c r="BI15" s="7">
        <v>5.139503819161563</v>
      </c>
      <c r="BJ15" s="7">
        <v>5.2303442772583146</v>
      </c>
      <c r="BK15" s="46">
        <v>4.8872003020577681</v>
      </c>
      <c r="BL15" s="7">
        <v>5.4922723334328305</v>
      </c>
      <c r="BM15" s="7">
        <v>6.4676338757052987</v>
      </c>
      <c r="BN15" s="7">
        <v>5.5874950694466259</v>
      </c>
      <c r="BO15" s="7">
        <v>5.1895634604549965</v>
      </c>
      <c r="BP15" s="7">
        <v>6.1337652288235622</v>
      </c>
      <c r="BQ15" s="7">
        <v>8.3196221622767368</v>
      </c>
      <c r="BR15" s="7">
        <v>6.6428693132844714</v>
      </c>
      <c r="BS15" s="7">
        <v>5.771240480198192</v>
      </c>
      <c r="BT15" s="7">
        <v>5.9159468699237863</v>
      </c>
      <c r="BU15" s="7">
        <v>5.5604682933500387</v>
      </c>
      <c r="BV15" s="7">
        <v>4.6824880922913925</v>
      </c>
      <c r="BW15" s="7">
        <v>4.3051655752598581</v>
      </c>
      <c r="BX15" s="7">
        <v>3.5086735237465803</v>
      </c>
      <c r="BY15" s="7">
        <v>4.3214031712118004</v>
      </c>
      <c r="BZ15" s="7">
        <v>4.2616272146326608</v>
      </c>
      <c r="CA15" s="7">
        <v>3.5213012871371601</v>
      </c>
      <c r="CB15" s="7">
        <v>3.7514646078772316</v>
      </c>
      <c r="CC15" s="7">
        <v>3.5811809609599203</v>
      </c>
      <c r="CD15" s="7">
        <v>2.8995030373126074</v>
      </c>
      <c r="CE15" s="7">
        <v>2.7317995645233841</v>
      </c>
      <c r="CF15" s="7">
        <v>5.0416266985385771</v>
      </c>
      <c r="CG15" s="7">
        <v>4.5119023780664689</v>
      </c>
      <c r="CH15" s="7">
        <v>3.8842332237527732</v>
      </c>
      <c r="CI15" s="7">
        <v>3.7779812876669836</v>
      </c>
      <c r="CJ15" s="7">
        <v>4.3087035704560597</v>
      </c>
    </row>
    <row r="16" spans="1:88" ht="20.149999999999999" customHeight="1" x14ac:dyDescent="0.25">
      <c r="A16" s="66" t="s">
        <v>108</v>
      </c>
      <c r="B16" s="46">
        <v>14.13892679439738</v>
      </c>
      <c r="C16" s="46">
        <v>13.047068077204118</v>
      </c>
      <c r="D16" s="46">
        <v>12.763970671249828</v>
      </c>
      <c r="E16" s="46">
        <v>12.000698746168453</v>
      </c>
      <c r="F16" s="46">
        <v>11.767574127602304</v>
      </c>
      <c r="G16" s="46">
        <v>11.604312609996697</v>
      </c>
      <c r="H16" s="46">
        <v>10.013012631717345</v>
      </c>
      <c r="I16" s="46">
        <v>9.603283272709513</v>
      </c>
      <c r="J16" s="46">
        <v>9.7397510780538603</v>
      </c>
      <c r="K16" s="46">
        <v>8.2910593873411731</v>
      </c>
      <c r="L16" s="7">
        <v>9.5456379403798941</v>
      </c>
      <c r="M16" s="7">
        <v>9.7864238721046295</v>
      </c>
      <c r="N16" s="7">
        <v>8.4134984298843243</v>
      </c>
      <c r="O16" s="7">
        <v>8.6435489037403563</v>
      </c>
      <c r="P16" s="7">
        <v>8.0931498403144335</v>
      </c>
      <c r="Q16" s="7">
        <v>7.281311044189791</v>
      </c>
      <c r="R16" s="78">
        <f t="shared" si="14"/>
        <v>7.3074169905148025</v>
      </c>
      <c r="S16" s="7">
        <v>7.3335229368398132</v>
      </c>
      <c r="T16" s="7">
        <v>7.4557972114498439</v>
      </c>
      <c r="U16" s="7">
        <v>7.1638192818563251</v>
      </c>
      <c r="V16" s="7">
        <v>6.1544934002442275</v>
      </c>
      <c r="W16" s="7">
        <v>6.0646967692960958</v>
      </c>
      <c r="X16" s="7">
        <v>6.6264644827538648</v>
      </c>
      <c r="Y16" s="7">
        <v>6.8710208988424064</v>
      </c>
      <c r="Z16" s="7">
        <v>7.7783014406411901</v>
      </c>
      <c r="AA16" s="7">
        <v>6.3872889965853119</v>
      </c>
      <c r="AB16" s="7">
        <v>7.9378658002672937</v>
      </c>
      <c r="AC16" s="7">
        <v>5.9618640942142198</v>
      </c>
      <c r="AD16" s="7">
        <v>5.3911246658757417</v>
      </c>
      <c r="AE16" s="7">
        <v>5.6119529273692264</v>
      </c>
      <c r="AF16" s="7">
        <v>6.2932598005066689</v>
      </c>
      <c r="AG16" s="7">
        <v>5.9177306316665375</v>
      </c>
      <c r="AH16" s="7">
        <v>5.2956160448546905</v>
      </c>
      <c r="AI16" s="7">
        <v>5.4135269532322523</v>
      </c>
      <c r="AJ16" s="7">
        <v>5.1998249241444645</v>
      </c>
      <c r="AK16" s="7">
        <v>5.4518417465736677</v>
      </c>
      <c r="AL16" s="7">
        <v>6.2399075845278613</v>
      </c>
      <c r="AM16" s="7">
        <v>6.3764709657549821</v>
      </c>
      <c r="AN16" s="7">
        <v>6</v>
      </c>
      <c r="AO16" s="7">
        <v>5.6</v>
      </c>
      <c r="AP16" s="7">
        <v>5.3408291247868203</v>
      </c>
      <c r="AQ16" s="7">
        <v>4.7019806812847227</v>
      </c>
      <c r="AR16" s="7">
        <v>5.439690601082912</v>
      </c>
      <c r="AS16" s="7">
        <v>6.0862103978929518</v>
      </c>
      <c r="AT16" s="7">
        <v>5.3905981114698118</v>
      </c>
      <c r="AU16" s="7">
        <v>4.9474969192407157</v>
      </c>
      <c r="AV16" s="7">
        <v>5.2653323311713844</v>
      </c>
      <c r="AW16" s="7">
        <v>4.9887877201848108</v>
      </c>
      <c r="AX16" s="78">
        <f t="shared" si="15"/>
        <v>5.8481900404333729</v>
      </c>
      <c r="AY16" s="78">
        <f t="shared" si="16"/>
        <v>6.2778912005576544</v>
      </c>
      <c r="AZ16" s="78">
        <f t="shared" si="17"/>
        <v>6.4927417806197951</v>
      </c>
      <c r="BA16" s="28">
        <v>6.7075923606819359</v>
      </c>
      <c r="BB16" s="7">
        <v>5.6686956874425043</v>
      </c>
      <c r="BC16" s="7">
        <v>5.4525690873364274</v>
      </c>
      <c r="BD16" s="7">
        <v>6.3083372039267545</v>
      </c>
      <c r="BE16" s="7">
        <v>6.2540470673255824</v>
      </c>
      <c r="BF16" s="7">
        <v>6.0134776491205404</v>
      </c>
      <c r="BG16" s="7">
        <v>5.0502534959971666</v>
      </c>
      <c r="BH16" s="7">
        <v>7.4687302692512558</v>
      </c>
      <c r="BI16" s="7">
        <v>7.1158170660670015</v>
      </c>
      <c r="BJ16" s="7">
        <v>6.7017728220493709</v>
      </c>
      <c r="BK16" s="46">
        <v>7.1738973878521728</v>
      </c>
      <c r="BL16" s="7">
        <v>7.371192140476186</v>
      </c>
      <c r="BM16" s="7">
        <v>8.5301292431282487</v>
      </c>
      <c r="BN16" s="7">
        <v>7.8550977623031777</v>
      </c>
      <c r="BO16" s="7">
        <v>6.2388104805907645</v>
      </c>
      <c r="BP16" s="7">
        <v>7.5319108561095263</v>
      </c>
      <c r="BQ16" s="7">
        <v>10.735877065502834</v>
      </c>
      <c r="BR16" s="7">
        <v>10.46788453068848</v>
      </c>
      <c r="BS16" s="7">
        <v>8.2819061416456403</v>
      </c>
      <c r="BT16" s="7">
        <v>8.3901598984197552</v>
      </c>
      <c r="BU16" s="7">
        <v>6.9477580863362043</v>
      </c>
      <c r="BV16" s="7">
        <v>5.1758652831190313</v>
      </c>
      <c r="BW16" s="7">
        <v>4.4765559657095677</v>
      </c>
      <c r="BX16" s="7">
        <v>6.0017229856862562</v>
      </c>
      <c r="BY16" s="7">
        <v>6.201848848183487</v>
      </c>
      <c r="BZ16" s="7">
        <v>5.1831250734458854</v>
      </c>
      <c r="CA16" s="7">
        <v>4.2197623719905808</v>
      </c>
      <c r="CB16" s="7">
        <v>4.7087383423533273</v>
      </c>
      <c r="CC16" s="7">
        <v>4.2740206230619009</v>
      </c>
      <c r="CD16" s="7">
        <v>4.0764927425738273</v>
      </c>
      <c r="CE16" s="7">
        <v>4.0663112979908913</v>
      </c>
      <c r="CF16" s="7">
        <v>4.965264698212164</v>
      </c>
      <c r="CG16" s="7">
        <v>5.8402449213221148</v>
      </c>
      <c r="CH16" s="7">
        <v>4.8004272704311095</v>
      </c>
      <c r="CI16" s="7">
        <v>5.1887118918043909</v>
      </c>
      <c r="CJ16" s="7">
        <v>6.1629251351459935</v>
      </c>
    </row>
    <row r="17" spans="1:88" ht="20.149999999999999" customHeight="1" x14ac:dyDescent="0.25">
      <c r="A17" s="66" t="s">
        <v>109</v>
      </c>
      <c r="B17" s="46">
        <v>28.331201732855128</v>
      </c>
      <c r="C17" s="46">
        <v>26.633872671974647</v>
      </c>
      <c r="D17" s="46">
        <v>26.465580831757634</v>
      </c>
      <c r="E17" s="46">
        <v>26.625281239405364</v>
      </c>
      <c r="F17" s="46">
        <v>24.668710734207458</v>
      </c>
      <c r="G17" s="46">
        <v>22.498337605283478</v>
      </c>
      <c r="H17" s="46">
        <v>24.628838664114951</v>
      </c>
      <c r="I17" s="46">
        <v>21.792731367514211</v>
      </c>
      <c r="J17" s="46">
        <v>21.480646329849719</v>
      </c>
      <c r="K17" s="46">
        <v>19.129355072247954</v>
      </c>
      <c r="L17" s="7">
        <v>20.257580915966116</v>
      </c>
      <c r="M17" s="7">
        <v>18.457116968135431</v>
      </c>
      <c r="N17" s="7">
        <v>19.959934300326225</v>
      </c>
      <c r="O17" s="7">
        <v>16.041257935735665</v>
      </c>
      <c r="P17" s="7">
        <v>18.132858764006272</v>
      </c>
      <c r="Q17" s="7">
        <v>16.042109297814903</v>
      </c>
      <c r="R17" s="78">
        <f t="shared" si="14"/>
        <v>14.482144606112417</v>
      </c>
      <c r="S17" s="7">
        <v>12.922179914409929</v>
      </c>
      <c r="T17" s="7">
        <v>15.720717033066457</v>
      </c>
      <c r="U17" s="7">
        <v>15.108823120632062</v>
      </c>
      <c r="V17" s="7">
        <v>15.407646892936713</v>
      </c>
      <c r="W17" s="7">
        <v>13.958387105719533</v>
      </c>
      <c r="X17" s="7">
        <v>16.081562494992138</v>
      </c>
      <c r="Y17" s="7">
        <v>16.743763044068967</v>
      </c>
      <c r="Z17" s="7">
        <v>17.206945101618686</v>
      </c>
      <c r="AA17" s="7">
        <v>16.419505559077212</v>
      </c>
      <c r="AB17" s="7">
        <v>14.446103730020566</v>
      </c>
      <c r="AC17" s="7">
        <v>15.277121360689904</v>
      </c>
      <c r="AD17" s="7">
        <v>14.524043786857755</v>
      </c>
      <c r="AE17" s="7">
        <v>14.231370423808714</v>
      </c>
      <c r="AF17" s="7">
        <v>14.986828752753869</v>
      </c>
      <c r="AG17" s="7">
        <v>14.104159693885594</v>
      </c>
      <c r="AH17" s="7">
        <v>14.926796569338313</v>
      </c>
      <c r="AI17" s="7">
        <v>14.129808746316685</v>
      </c>
      <c r="AJ17" s="7">
        <v>14.542082180673752</v>
      </c>
      <c r="AK17" s="7">
        <v>14.681120392318942</v>
      </c>
      <c r="AL17" s="7">
        <v>15.929415786243716</v>
      </c>
      <c r="AM17" s="7">
        <v>14.107691511612297</v>
      </c>
      <c r="AN17" s="7">
        <v>16.5</v>
      </c>
      <c r="AO17" s="7">
        <v>15.5</v>
      </c>
      <c r="AP17" s="7">
        <v>14.947382611780933</v>
      </c>
      <c r="AQ17" s="7">
        <v>13.020771156940478</v>
      </c>
      <c r="AR17" s="7">
        <v>15.146056562796224</v>
      </c>
      <c r="AS17" s="7">
        <v>15.147264872011631</v>
      </c>
      <c r="AT17" s="7">
        <v>16.445251645934288</v>
      </c>
      <c r="AU17" s="7">
        <v>13.889139102860931</v>
      </c>
      <c r="AV17" s="7">
        <v>14.827512699213912</v>
      </c>
      <c r="AW17" s="7">
        <v>14.658218675887369</v>
      </c>
      <c r="AX17" s="78">
        <f t="shared" si="15"/>
        <v>16.511208727237737</v>
      </c>
      <c r="AY17" s="78">
        <f t="shared" si="16"/>
        <v>17.437703752912917</v>
      </c>
      <c r="AZ17" s="78">
        <f t="shared" si="17"/>
        <v>17.900951265750507</v>
      </c>
      <c r="BA17" s="28">
        <v>18.364198778588101</v>
      </c>
      <c r="BB17" s="7">
        <v>17.593568499566068</v>
      </c>
      <c r="BC17" s="7">
        <v>16.710370902599941</v>
      </c>
      <c r="BD17" s="7">
        <v>17.809322066241236</v>
      </c>
      <c r="BE17" s="7">
        <v>17.365263610427171</v>
      </c>
      <c r="BF17" s="7">
        <v>18.170052063521787</v>
      </c>
      <c r="BG17" s="7">
        <v>14.620609046323532</v>
      </c>
      <c r="BH17" s="7">
        <v>18.505918121547602</v>
      </c>
      <c r="BI17" s="7">
        <v>20.077301790323421</v>
      </c>
      <c r="BJ17" s="7">
        <v>18.010660375949954</v>
      </c>
      <c r="BK17" s="46">
        <v>18.915477751368527</v>
      </c>
      <c r="BL17" s="7">
        <v>20.827903948686266</v>
      </c>
      <c r="BM17" s="7">
        <v>20.584354051072097</v>
      </c>
      <c r="BN17" s="7">
        <v>18.79306671395431</v>
      </c>
      <c r="BO17" s="7">
        <v>18.167089243420392</v>
      </c>
      <c r="BP17" s="7">
        <v>20.462261461086666</v>
      </c>
      <c r="BQ17" s="7">
        <v>25.507076616543468</v>
      </c>
      <c r="BR17" s="7">
        <v>23.198051336280386</v>
      </c>
      <c r="BS17" s="7">
        <v>24.6812212610625</v>
      </c>
      <c r="BT17" s="7">
        <v>19.698510293747621</v>
      </c>
      <c r="BU17" s="7">
        <v>20.260597405435302</v>
      </c>
      <c r="BV17" s="7">
        <v>18.326431727823149</v>
      </c>
      <c r="BW17" s="7">
        <v>15.4465903516114</v>
      </c>
      <c r="BX17" s="7">
        <v>14.242185703567815</v>
      </c>
      <c r="BY17" s="7">
        <v>12.861441898599171</v>
      </c>
      <c r="BZ17" s="7">
        <v>15.075596757458024</v>
      </c>
      <c r="CA17" s="7">
        <v>14.489251467261905</v>
      </c>
      <c r="CB17" s="7">
        <v>15.335984233827324</v>
      </c>
      <c r="CC17" s="7">
        <v>14.24651911910561</v>
      </c>
      <c r="CD17" s="7">
        <v>13.307534468604063</v>
      </c>
      <c r="CE17" s="7">
        <v>13.47794094684904</v>
      </c>
      <c r="CF17" s="7">
        <v>16.387804353300833</v>
      </c>
      <c r="CG17" s="7">
        <v>16.012965878236695</v>
      </c>
      <c r="CH17" s="7">
        <v>15.505350560876932</v>
      </c>
      <c r="CI17" s="7">
        <v>13.102127351151561</v>
      </c>
      <c r="CJ17" s="7">
        <v>16.132688993733428</v>
      </c>
    </row>
    <row r="18" spans="1:88" ht="20.149999999999999" customHeight="1" thickBot="1" x14ac:dyDescent="0.3">
      <c r="A18" s="66" t="s">
        <v>110</v>
      </c>
      <c r="B18" s="46">
        <v>24.111376251066609</v>
      </c>
      <c r="C18" s="46">
        <v>22.215298285251194</v>
      </c>
      <c r="D18" s="46">
        <v>20.605940396080157</v>
      </c>
      <c r="E18" s="46">
        <v>21.640169979135582</v>
      </c>
      <c r="F18" s="46">
        <v>17.366248130129307</v>
      </c>
      <c r="G18" s="46">
        <v>15.705917112958836</v>
      </c>
      <c r="H18" s="46">
        <v>20.112747860673313</v>
      </c>
      <c r="I18" s="46">
        <v>18.22203541048658</v>
      </c>
      <c r="J18" s="46">
        <v>15.152043051049926</v>
      </c>
      <c r="K18" s="46">
        <v>15.15478581588672</v>
      </c>
      <c r="L18" s="7">
        <v>17.267002448486746</v>
      </c>
      <c r="M18" s="7">
        <v>14.658837676155873</v>
      </c>
      <c r="N18" s="7">
        <v>13.888208666988286</v>
      </c>
      <c r="O18" s="7">
        <v>11.417567366343858</v>
      </c>
      <c r="P18" s="7">
        <v>16.62547090333964</v>
      </c>
      <c r="Q18" s="7">
        <v>12.451165123561388</v>
      </c>
      <c r="R18" s="78">
        <f t="shared" si="14"/>
        <v>10.744832773342054</v>
      </c>
      <c r="S18" s="7">
        <v>9.0385004231227217</v>
      </c>
      <c r="T18" s="7">
        <v>13.119685405385189</v>
      </c>
      <c r="U18" s="7">
        <v>12.465687292650204</v>
      </c>
      <c r="V18" s="7">
        <v>10.084958073087408</v>
      </c>
      <c r="W18" s="7">
        <v>10.445399366471053</v>
      </c>
      <c r="X18" s="7">
        <v>11.031877238169766</v>
      </c>
      <c r="Y18" s="7">
        <v>12.791332448726683</v>
      </c>
      <c r="Z18" s="7">
        <v>12.344757659094192</v>
      </c>
      <c r="AA18" s="7">
        <v>12.397828190320077</v>
      </c>
      <c r="AB18" s="7">
        <v>11.610414998648748</v>
      </c>
      <c r="AC18" s="7">
        <v>11.577358186215145</v>
      </c>
      <c r="AD18" s="7">
        <v>11.343042451517292</v>
      </c>
      <c r="AE18" s="7">
        <v>11.086158712106819</v>
      </c>
      <c r="AF18" s="7">
        <v>10.925761847227816</v>
      </c>
      <c r="AG18" s="7">
        <v>12.303176697870283</v>
      </c>
      <c r="AH18" s="7">
        <v>10.387954896419101</v>
      </c>
      <c r="AI18" s="7">
        <v>10.491949267386099</v>
      </c>
      <c r="AJ18" s="7">
        <v>11.517793973968802</v>
      </c>
      <c r="AK18" s="7">
        <v>11.830329825986654</v>
      </c>
      <c r="AL18" s="7">
        <v>9.7046418857430794</v>
      </c>
      <c r="AM18" s="7">
        <v>8.5800977488689831</v>
      </c>
      <c r="AN18" s="7">
        <v>12.3</v>
      </c>
      <c r="AO18" s="7">
        <v>9.3000000000000007</v>
      </c>
      <c r="AP18" s="7">
        <v>8.1564198580713807</v>
      </c>
      <c r="AQ18" s="7">
        <v>10.346310097187327</v>
      </c>
      <c r="AR18" s="7">
        <v>11.501386045691712</v>
      </c>
      <c r="AS18" s="7">
        <v>11.83864767173095</v>
      </c>
      <c r="AT18" s="7">
        <v>9.3311730427298585</v>
      </c>
      <c r="AU18" s="7">
        <v>11.613103188166949</v>
      </c>
      <c r="AV18" s="7">
        <v>10.335769413043506</v>
      </c>
      <c r="AW18" s="7">
        <v>8.9140919823219598</v>
      </c>
      <c r="AX18" s="78">
        <f t="shared" si="15"/>
        <v>10.96890005938476</v>
      </c>
      <c r="AY18" s="78">
        <f t="shared" si="16"/>
        <v>11.996304097916159</v>
      </c>
      <c r="AZ18" s="78">
        <f t="shared" si="17"/>
        <v>12.51000611718186</v>
      </c>
      <c r="BA18" s="28">
        <v>13.02370813644756</v>
      </c>
      <c r="BB18" s="7">
        <v>10.439454092577529</v>
      </c>
      <c r="BC18" s="7">
        <v>10.684139221511412</v>
      </c>
      <c r="BD18" s="7">
        <v>14.286491049096625</v>
      </c>
      <c r="BE18" s="7">
        <v>11.779207924435269</v>
      </c>
      <c r="BF18" s="7">
        <v>9.1941583027258726</v>
      </c>
      <c r="BG18" s="7">
        <v>11.091633712015115</v>
      </c>
      <c r="BH18" s="7">
        <v>12.891637992795374</v>
      </c>
      <c r="BI18" s="7">
        <v>12.802404207362885</v>
      </c>
      <c r="BJ18" s="7">
        <v>13.16885643738479</v>
      </c>
      <c r="BK18" s="46">
        <v>12.310702657233122</v>
      </c>
      <c r="BL18" s="7">
        <v>15.381947666326438</v>
      </c>
      <c r="BM18" s="7">
        <v>14.115256235869772</v>
      </c>
      <c r="BN18" s="7">
        <v>15.360211094747179</v>
      </c>
      <c r="BO18" s="7">
        <v>13.208647163307113</v>
      </c>
      <c r="BP18" s="7">
        <v>16.111295915203112</v>
      </c>
      <c r="BQ18" s="7">
        <v>21.086213348386156</v>
      </c>
      <c r="BR18" s="7">
        <v>17.555214179294587</v>
      </c>
      <c r="BS18" s="7">
        <v>11.824490483795339</v>
      </c>
      <c r="BT18" s="7">
        <v>14.139943422801693</v>
      </c>
      <c r="BU18" s="7">
        <v>10.365331487070559</v>
      </c>
      <c r="BV18" s="7">
        <v>11.803849404457722</v>
      </c>
      <c r="BW18" s="7">
        <v>8.4990035633910797</v>
      </c>
      <c r="BX18" s="7">
        <v>12.053998113181885</v>
      </c>
      <c r="BY18" s="7">
        <v>8.3997078067058855</v>
      </c>
      <c r="BZ18" s="7">
        <v>10.084539655635506</v>
      </c>
      <c r="CA18" s="7">
        <v>8.1342688566416843</v>
      </c>
      <c r="CB18" s="7">
        <v>11.020061118402277</v>
      </c>
      <c r="CC18" s="7">
        <v>8.9128186408712047</v>
      </c>
      <c r="CD18" s="7">
        <v>8.7310864708914782</v>
      </c>
      <c r="CE18" s="7">
        <v>9.0748641887351553</v>
      </c>
      <c r="CF18" s="7">
        <v>9.0044635749604556</v>
      </c>
      <c r="CG18" s="7">
        <v>9.9801267213766334</v>
      </c>
      <c r="CH18" s="7">
        <v>10.145882308333967</v>
      </c>
      <c r="CI18" s="7">
        <v>9.8366604904023642</v>
      </c>
      <c r="CJ18" s="7">
        <v>14.223206427753016</v>
      </c>
    </row>
    <row r="19" spans="1:88" ht="30" customHeight="1" thickBot="1" x14ac:dyDescent="0.3">
      <c r="A19" s="85" t="s">
        <v>111</v>
      </c>
      <c r="B19" s="86">
        <f>AVERAGE(B20:B25)</f>
        <v>16.521109138239829</v>
      </c>
      <c r="C19" s="86">
        <f t="shared" ref="C19:BN19" si="18">AVERAGE(C20:C25)</f>
        <v>14.503805140821905</v>
      </c>
      <c r="D19" s="86">
        <f t="shared" si="18"/>
        <v>14.421813990552401</v>
      </c>
      <c r="E19" s="86">
        <f t="shared" si="18"/>
        <v>14.618361022670861</v>
      </c>
      <c r="F19" s="86">
        <f t="shared" si="18"/>
        <v>13.07802943350282</v>
      </c>
      <c r="G19" s="86">
        <f t="shared" si="18"/>
        <v>12.151718515508813</v>
      </c>
      <c r="H19" s="86">
        <f t="shared" si="18"/>
        <v>13.049412701904224</v>
      </c>
      <c r="I19" s="86">
        <f t="shared" si="18"/>
        <v>12.056825070765372</v>
      </c>
      <c r="J19" s="86">
        <f t="shared" si="18"/>
        <v>11.078017859507201</v>
      </c>
      <c r="K19" s="86">
        <f t="shared" si="18"/>
        <v>9.9352227418051466</v>
      </c>
      <c r="L19" s="86">
        <f t="shared" si="18"/>
        <v>11.449136289761881</v>
      </c>
      <c r="M19" s="86">
        <f t="shared" si="18"/>
        <v>10.282931286189909</v>
      </c>
      <c r="N19" s="86">
        <f t="shared" si="18"/>
        <v>10.054121245990116</v>
      </c>
      <c r="O19" s="86">
        <f t="shared" si="18"/>
        <v>8.7468964810036098</v>
      </c>
      <c r="P19" s="86">
        <f t="shared" si="18"/>
        <v>9.7310224796751239</v>
      </c>
      <c r="Q19" s="86">
        <f t="shared" si="18"/>
        <v>8.4049846226059302</v>
      </c>
      <c r="R19" s="86">
        <f t="shared" si="18"/>
        <v>7.9757152417903994</v>
      </c>
      <c r="S19" s="86">
        <f t="shared" si="18"/>
        <v>7.5464458609748695</v>
      </c>
      <c r="T19" s="86">
        <f t="shared" si="18"/>
        <v>8.2715339573502558</v>
      </c>
      <c r="U19" s="86">
        <f t="shared" si="18"/>
        <v>8.3027675939356822</v>
      </c>
      <c r="V19" s="86">
        <f t="shared" si="18"/>
        <v>7.9687154583909718</v>
      </c>
      <c r="W19" s="86">
        <f t="shared" si="18"/>
        <v>7.4446365668640127</v>
      </c>
      <c r="X19" s="86">
        <f t="shared" si="18"/>
        <v>8.6700415452267166</v>
      </c>
      <c r="Y19" s="86">
        <f t="shared" si="18"/>
        <v>9.0323261672656603</v>
      </c>
      <c r="Z19" s="86">
        <f t="shared" si="18"/>
        <v>9.5341064755256379</v>
      </c>
      <c r="AA19" s="86">
        <f t="shared" si="18"/>
        <v>8.57855095276547</v>
      </c>
      <c r="AB19" s="86">
        <f t="shared" si="18"/>
        <v>8.436765311349733</v>
      </c>
      <c r="AC19" s="86">
        <f t="shared" si="18"/>
        <v>7.9911139876963988</v>
      </c>
      <c r="AD19" s="86">
        <f t="shared" si="18"/>
        <v>7.6806848116467163</v>
      </c>
      <c r="AE19" s="86">
        <f t="shared" si="18"/>
        <v>7.176451686181287</v>
      </c>
      <c r="AF19" s="86">
        <f t="shared" si="18"/>
        <v>7.6581422860517883</v>
      </c>
      <c r="AG19" s="86">
        <f t="shared" si="18"/>
        <v>7.4000884998615462</v>
      </c>
      <c r="AH19" s="86">
        <f t="shared" si="18"/>
        <v>7.2711515959762698</v>
      </c>
      <c r="AI19" s="86">
        <f t="shared" si="18"/>
        <v>6.8148193220702007</v>
      </c>
      <c r="AJ19" s="86">
        <f t="shared" si="18"/>
        <v>7.427901322650917</v>
      </c>
      <c r="AK19" s="86">
        <f t="shared" si="18"/>
        <v>7.1617501835424031</v>
      </c>
      <c r="AL19" s="86">
        <f t="shared" si="18"/>
        <v>7.7680125266767908</v>
      </c>
      <c r="AM19" s="86">
        <f t="shared" si="18"/>
        <v>7.1855775826711179</v>
      </c>
      <c r="AN19" s="86">
        <f t="shared" si="18"/>
        <v>8.5499999999999989</v>
      </c>
      <c r="AO19" s="86">
        <f t="shared" si="18"/>
        <v>7.4333333333333336</v>
      </c>
      <c r="AP19" s="86">
        <f t="shared" si="18"/>
        <v>6.8223253356118967</v>
      </c>
      <c r="AQ19" s="86">
        <f t="shared" si="18"/>
        <v>6.42613864420401</v>
      </c>
      <c r="AR19" s="86">
        <f t="shared" si="18"/>
        <v>7.2515544400428551</v>
      </c>
      <c r="AS19" s="86">
        <f t="shared" si="18"/>
        <v>8.0181431123734193</v>
      </c>
      <c r="AT19" s="86">
        <f t="shared" si="18"/>
        <v>7.5662904136734781</v>
      </c>
      <c r="AU19" s="86">
        <f t="shared" si="18"/>
        <v>6.9774699061526961</v>
      </c>
      <c r="AV19" s="86">
        <f t="shared" si="18"/>
        <v>7.5578064220384737</v>
      </c>
      <c r="AW19" s="86">
        <f t="shared" si="18"/>
        <v>6.6185683127513428</v>
      </c>
      <c r="AX19" s="86">
        <f t="shared" si="18"/>
        <v>8.1795877371971546</v>
      </c>
      <c r="AY19" s="86">
        <f t="shared" si="18"/>
        <v>8.9600974494200614</v>
      </c>
      <c r="AZ19" s="86">
        <f t="shared" si="18"/>
        <v>9.3503523055315139</v>
      </c>
      <c r="BA19" s="86">
        <f t="shared" si="18"/>
        <v>9.7406071616429681</v>
      </c>
      <c r="BB19" s="86">
        <f t="shared" si="18"/>
        <v>8.6246388161943752</v>
      </c>
      <c r="BC19" s="86">
        <f t="shared" si="18"/>
        <v>7.7875128790234811</v>
      </c>
      <c r="BD19" s="86">
        <f t="shared" si="18"/>
        <v>9.8940383329286892</v>
      </c>
      <c r="BE19" s="86">
        <f t="shared" si="18"/>
        <v>9.1006290288422296</v>
      </c>
      <c r="BF19" s="86">
        <f t="shared" si="18"/>
        <v>8.7589220073616598</v>
      </c>
      <c r="BG19" s="86">
        <f t="shared" si="18"/>
        <v>7.489064038735882</v>
      </c>
      <c r="BH19" s="86">
        <f t="shared" si="18"/>
        <v>9.5322002786829731</v>
      </c>
      <c r="BI19" s="86">
        <f t="shared" si="18"/>
        <v>10.254570827053684</v>
      </c>
      <c r="BJ19" s="86">
        <f t="shared" si="18"/>
        <v>9.0509695872734977</v>
      </c>
      <c r="BK19" s="86">
        <f t="shared" si="18"/>
        <v>9.2718064003960663</v>
      </c>
      <c r="BL19" s="86">
        <f t="shared" si="18"/>
        <v>10.391892036774895</v>
      </c>
      <c r="BM19" s="86">
        <f t="shared" si="18"/>
        <v>11.478579390274072</v>
      </c>
      <c r="BN19" s="86">
        <f t="shared" si="18"/>
        <v>9.9976995603326984</v>
      </c>
      <c r="BO19" s="86">
        <f t="shared" ref="BO19:CJ19" si="19">AVERAGE(BO20:BO25)</f>
        <v>9.5117810156577711</v>
      </c>
      <c r="BP19" s="86">
        <f t="shared" si="19"/>
        <v>10.549980514818222</v>
      </c>
      <c r="BQ19" s="86">
        <f t="shared" si="19"/>
        <v>15.196360948234775</v>
      </c>
      <c r="BR19" s="86">
        <f t="shared" si="19"/>
        <v>12.744656796919756</v>
      </c>
      <c r="BS19" s="86">
        <f t="shared" si="19"/>
        <v>11.160981983946998</v>
      </c>
      <c r="BT19" s="86">
        <f t="shared" si="19"/>
        <v>10.68023581383469</v>
      </c>
      <c r="BU19" s="86">
        <f t="shared" si="19"/>
        <v>9.8588314481852901</v>
      </c>
      <c r="BV19" s="86">
        <f t="shared" si="19"/>
        <v>8.1752771702389335</v>
      </c>
      <c r="BW19" s="86">
        <f t="shared" si="19"/>
        <v>7.6763942924051003</v>
      </c>
      <c r="BX19" s="86">
        <f t="shared" si="19"/>
        <v>6.6506149259662157</v>
      </c>
      <c r="BY19" s="86">
        <f t="shared" si="19"/>
        <v>6.9491369272176478</v>
      </c>
      <c r="BZ19" s="86">
        <f t="shared" si="19"/>
        <v>7.0488027979104446</v>
      </c>
      <c r="CA19" s="86">
        <f t="shared" si="19"/>
        <v>6.6006236947046872</v>
      </c>
      <c r="CB19" s="86">
        <f t="shared" si="19"/>
        <v>6.8860261928469377</v>
      </c>
      <c r="CC19" s="86">
        <f t="shared" si="19"/>
        <v>6.2869696222816804</v>
      </c>
      <c r="CD19" s="86">
        <f t="shared" si="19"/>
        <v>5.6095457553234516</v>
      </c>
      <c r="CE19" s="86">
        <f t="shared" si="19"/>
        <v>6.0421877321186139</v>
      </c>
      <c r="CF19" s="86">
        <f t="shared" si="19"/>
        <v>7.6934439297477297</v>
      </c>
      <c r="CG19" s="86">
        <f t="shared" si="19"/>
        <v>7.9820934659785037</v>
      </c>
      <c r="CH19" s="86">
        <f t="shared" si="19"/>
        <v>7.2623017958404228</v>
      </c>
      <c r="CI19" s="86">
        <f t="shared" si="19"/>
        <v>6.6368078474487566</v>
      </c>
      <c r="CJ19" s="87">
        <f t="shared" si="19"/>
        <v>8.5151295236408071</v>
      </c>
    </row>
    <row r="20" spans="1:88" ht="20.149999999999999" customHeight="1" x14ac:dyDescent="0.25">
      <c r="A20" s="66" t="s">
        <v>112</v>
      </c>
      <c r="B20" s="47">
        <v>20.169452913549033</v>
      </c>
      <c r="C20" s="47">
        <v>15.763572956338329</v>
      </c>
      <c r="D20" s="47">
        <v>15.12493876126822</v>
      </c>
      <c r="E20" s="47">
        <v>15.382943971674109</v>
      </c>
      <c r="F20" s="47">
        <v>12.629146363495755</v>
      </c>
      <c r="G20" s="47">
        <v>14.151575114174147</v>
      </c>
      <c r="H20" s="47">
        <v>13.417862634546388</v>
      </c>
      <c r="I20" s="47">
        <v>12.565851257093474</v>
      </c>
      <c r="J20" s="47">
        <v>10.50049219846062</v>
      </c>
      <c r="K20" s="47">
        <v>9.3666122370335323</v>
      </c>
      <c r="L20" s="11">
        <v>12.008012661719455</v>
      </c>
      <c r="M20" s="11">
        <v>9.350279605946298</v>
      </c>
      <c r="N20" s="11">
        <v>9.4234476147280759</v>
      </c>
      <c r="O20" s="11">
        <v>9.8437410736684701</v>
      </c>
      <c r="P20" s="11">
        <v>8.6711599800156005</v>
      </c>
      <c r="Q20" s="11">
        <v>8.7589832495064712</v>
      </c>
      <c r="R20" s="78">
        <f t="shared" ref="R20:R25" si="20">+(Q20+S20)/2</f>
        <v>8.1858651374835638</v>
      </c>
      <c r="S20" s="11">
        <v>7.6127470254606564</v>
      </c>
      <c r="T20" s="11">
        <v>6.7351044411716288</v>
      </c>
      <c r="U20" s="11">
        <v>10.44441052350798</v>
      </c>
      <c r="V20" s="11">
        <v>8.7205575849936121</v>
      </c>
      <c r="W20" s="11">
        <v>8.1246128346364408</v>
      </c>
      <c r="X20" s="11">
        <v>9.2649257724266185</v>
      </c>
      <c r="Y20" s="11">
        <v>9.9978180958643836</v>
      </c>
      <c r="Z20" s="11">
        <v>12.110723143004146</v>
      </c>
      <c r="AA20" s="11">
        <v>9.042632531985225</v>
      </c>
      <c r="AB20" s="11">
        <v>8.131342201756631</v>
      </c>
      <c r="AC20" s="11">
        <v>7.528424789430499</v>
      </c>
      <c r="AD20" s="11">
        <v>8.8757986331779239</v>
      </c>
      <c r="AE20" s="11">
        <v>6.1435163793960594</v>
      </c>
      <c r="AF20" s="12">
        <v>9.6853958603582306</v>
      </c>
      <c r="AG20" s="12">
        <v>6.5566886855907587</v>
      </c>
      <c r="AH20" s="12">
        <v>6.0728729636769101</v>
      </c>
      <c r="AI20" s="12">
        <v>7.176430014287825</v>
      </c>
      <c r="AJ20" s="12">
        <v>7.877209538673732</v>
      </c>
      <c r="AK20" s="12">
        <v>5.9596174356757965</v>
      </c>
      <c r="AL20" s="12">
        <v>7.9098655168873835</v>
      </c>
      <c r="AM20" s="12">
        <v>8.4391666912219705</v>
      </c>
      <c r="AN20" s="12">
        <v>10.5</v>
      </c>
      <c r="AO20" s="12">
        <v>7.4</v>
      </c>
      <c r="AP20" s="12">
        <v>4.9423146776137123</v>
      </c>
      <c r="AQ20" s="12">
        <v>5.7727693067041352</v>
      </c>
      <c r="AR20" s="12">
        <v>6.8951563342063222</v>
      </c>
      <c r="AS20" s="12">
        <v>10.004809900595388</v>
      </c>
      <c r="AT20" s="12">
        <v>6.0596211190283462</v>
      </c>
      <c r="AU20" s="12">
        <v>6.6325653534222928</v>
      </c>
      <c r="AV20" s="12">
        <v>8.7408965344048219</v>
      </c>
      <c r="AW20" s="12">
        <v>5.9411903161439303</v>
      </c>
      <c r="AX20" s="78">
        <f t="shared" ref="AX20:AX25" si="21">+(AW20+BA20)/2</f>
        <v>7.9965867634090593</v>
      </c>
      <c r="AY20" s="78">
        <f t="shared" ref="AY20:AY25" si="22">+(AX20+BA20)/2</f>
        <v>9.0242849870416251</v>
      </c>
      <c r="AZ20" s="78">
        <f t="shared" ref="AZ20:AZ25" si="23">+(AY20+BA20)/2</f>
        <v>9.5381340988579062</v>
      </c>
      <c r="BA20" s="12">
        <v>10.051983210674189</v>
      </c>
      <c r="BB20" s="12">
        <v>6.9861000516354048</v>
      </c>
      <c r="BC20" s="12">
        <v>6.8035027530101138</v>
      </c>
      <c r="BD20" s="12">
        <v>11.76350725959081</v>
      </c>
      <c r="BE20" s="12">
        <v>10.38557683478048</v>
      </c>
      <c r="BF20" s="12">
        <v>9.9116421646283506</v>
      </c>
      <c r="BG20" s="12">
        <v>7.5997101669742468</v>
      </c>
      <c r="BH20" s="12">
        <v>10.036435365943122</v>
      </c>
      <c r="BI20" s="12">
        <v>12.865442183256235</v>
      </c>
      <c r="BJ20" s="12">
        <v>8.7180954847982211</v>
      </c>
      <c r="BK20" s="50">
        <v>7.8965006529316737</v>
      </c>
      <c r="BL20" s="12">
        <v>10.812824936333017</v>
      </c>
      <c r="BM20" s="12">
        <v>15.104137103935697</v>
      </c>
      <c r="BN20" s="12">
        <v>9.2712913782517816</v>
      </c>
      <c r="BO20" s="12">
        <v>10.99178119304989</v>
      </c>
      <c r="BP20" s="12">
        <v>10.178549363647598</v>
      </c>
      <c r="BQ20" s="12">
        <v>23.64657207056786</v>
      </c>
      <c r="BR20" s="12">
        <v>16.088898139913336</v>
      </c>
      <c r="BS20" s="12">
        <v>12.297223478191487</v>
      </c>
      <c r="BT20" s="12">
        <v>13.95891578452691</v>
      </c>
      <c r="BU20" s="12">
        <v>10.005033606727268</v>
      </c>
      <c r="BV20" s="12">
        <v>4.3848454909709647</v>
      </c>
      <c r="BW20" s="12">
        <v>10.618265650257328</v>
      </c>
      <c r="BX20" s="12">
        <v>4.7107768043877005</v>
      </c>
      <c r="BY20" s="12">
        <v>6.4013057050124429</v>
      </c>
      <c r="BZ20" s="12">
        <v>6.3757668151980447</v>
      </c>
      <c r="CA20" s="12">
        <v>7.6189023356723951</v>
      </c>
      <c r="CB20" s="12">
        <v>5.8598032599342194</v>
      </c>
      <c r="CC20" s="12">
        <v>5.1438692975610962</v>
      </c>
      <c r="CD20" s="12">
        <v>4.9726993111084052</v>
      </c>
      <c r="CE20" s="12">
        <v>6.3344945030999353</v>
      </c>
      <c r="CF20" s="12">
        <v>6.438944932304393</v>
      </c>
      <c r="CG20" s="12">
        <v>9.2527732662698696</v>
      </c>
      <c r="CH20" s="12">
        <v>7.8547437155377171</v>
      </c>
      <c r="CI20" s="12">
        <v>5.9845813171491837</v>
      </c>
      <c r="CJ20" s="12">
        <v>11.232417914018367</v>
      </c>
    </row>
    <row r="21" spans="1:88" ht="20.149999999999999" customHeight="1" x14ac:dyDescent="0.25">
      <c r="A21" s="66" t="s">
        <v>113</v>
      </c>
      <c r="B21" s="47">
        <v>16.25896897120127</v>
      </c>
      <c r="C21" s="47">
        <v>13.901729149011027</v>
      </c>
      <c r="D21" s="47">
        <v>12.48462317811585</v>
      </c>
      <c r="E21" s="47">
        <v>14.38284679186785</v>
      </c>
      <c r="F21" s="47">
        <v>12.726372251861145</v>
      </c>
      <c r="G21" s="47">
        <v>12.311711193099057</v>
      </c>
      <c r="H21" s="47">
        <v>11.39080567555682</v>
      </c>
      <c r="I21" s="47">
        <v>11.400420389921145</v>
      </c>
      <c r="J21" s="47">
        <v>11.076449174132005</v>
      </c>
      <c r="K21" s="47">
        <v>10.153497121876429</v>
      </c>
      <c r="L21" s="11">
        <v>10.871985805433187</v>
      </c>
      <c r="M21" s="11">
        <v>9.154910577276544</v>
      </c>
      <c r="N21" s="11">
        <v>9.3918443597629011</v>
      </c>
      <c r="O21" s="11">
        <v>7.765933804545794</v>
      </c>
      <c r="P21" s="11">
        <v>8.8233496005865621</v>
      </c>
      <c r="Q21" s="11">
        <v>6.5720226021063519</v>
      </c>
      <c r="R21" s="78">
        <f t="shared" si="20"/>
        <v>6.7953017398740592</v>
      </c>
      <c r="S21" s="11">
        <v>7.0185808776417655</v>
      </c>
      <c r="T21" s="11">
        <v>7.7803686963569056</v>
      </c>
      <c r="U21" s="11">
        <v>7.4310276632336194</v>
      </c>
      <c r="V21" s="11">
        <v>7.4170320059968651</v>
      </c>
      <c r="W21" s="11">
        <v>8.3487865350066315</v>
      </c>
      <c r="X21" s="11">
        <v>7.3339527375374471</v>
      </c>
      <c r="Y21" s="11">
        <v>8.219407505279527</v>
      </c>
      <c r="Z21" s="11">
        <v>9.0165447561011582</v>
      </c>
      <c r="AA21" s="11">
        <v>9.1270550011269513</v>
      </c>
      <c r="AB21" s="11">
        <v>7.8855422430293611</v>
      </c>
      <c r="AC21" s="11">
        <v>7.3448693011442678</v>
      </c>
      <c r="AD21" s="11">
        <v>5.6251820043927845</v>
      </c>
      <c r="AE21" s="11">
        <v>6.2304116396639344</v>
      </c>
      <c r="AF21" s="12">
        <v>6.2253773581752538</v>
      </c>
      <c r="AG21" s="12">
        <v>7.7197965316765798</v>
      </c>
      <c r="AH21" s="12">
        <v>5.6984964175724357</v>
      </c>
      <c r="AI21" s="12">
        <v>5.5496064900910183</v>
      </c>
      <c r="AJ21" s="12">
        <v>6.639407123856607</v>
      </c>
      <c r="AK21" s="12">
        <v>6.5191916532393392</v>
      </c>
      <c r="AL21" s="12">
        <v>6.3354198152064907</v>
      </c>
      <c r="AM21" s="12">
        <v>5.9457187804036025</v>
      </c>
      <c r="AN21" s="12">
        <v>6</v>
      </c>
      <c r="AO21" s="12">
        <v>5.7</v>
      </c>
      <c r="AP21" s="12">
        <v>5.1537840026945529</v>
      </c>
      <c r="AQ21" s="12">
        <v>6.016660837010404</v>
      </c>
      <c r="AR21" s="12">
        <v>6.3247565495625446</v>
      </c>
      <c r="AS21" s="12">
        <v>7.2548938378947421</v>
      </c>
      <c r="AT21" s="12">
        <v>7.0717466551370967</v>
      </c>
      <c r="AU21" s="12">
        <v>6.0970445412083834</v>
      </c>
      <c r="AV21" s="12">
        <v>7.0081355477692311</v>
      </c>
      <c r="AW21" s="12">
        <v>5.5270416466712362</v>
      </c>
      <c r="AX21" s="78">
        <f t="shared" si="21"/>
        <v>6.532793495804591</v>
      </c>
      <c r="AY21" s="78">
        <f t="shared" si="22"/>
        <v>7.0356694203712689</v>
      </c>
      <c r="AZ21" s="78">
        <f t="shared" si="23"/>
        <v>7.2871073826546073</v>
      </c>
      <c r="BA21" s="12">
        <v>7.5385453449379458</v>
      </c>
      <c r="BB21" s="12">
        <v>8.7020732235561198</v>
      </c>
      <c r="BC21" s="12">
        <v>6.6331066663082998</v>
      </c>
      <c r="BD21" s="12">
        <v>9.3456567489857996</v>
      </c>
      <c r="BE21" s="12">
        <v>9.1474197082604256</v>
      </c>
      <c r="BF21" s="12">
        <v>8.7728514447679267</v>
      </c>
      <c r="BG21" s="12">
        <v>6.5579205232325855</v>
      </c>
      <c r="BH21" s="12">
        <v>9.2512579319106987</v>
      </c>
      <c r="BI21" s="12">
        <v>10.171775027086641</v>
      </c>
      <c r="BJ21" s="12">
        <v>8.4663264219231227</v>
      </c>
      <c r="BK21" s="50">
        <v>9.9839460696015578</v>
      </c>
      <c r="BL21" s="12">
        <v>9.9316689289342861</v>
      </c>
      <c r="BM21" s="12">
        <v>10.172655693591656</v>
      </c>
      <c r="BN21" s="12">
        <v>9.8957993303550609</v>
      </c>
      <c r="BO21" s="12">
        <v>8.4325644591798632</v>
      </c>
      <c r="BP21" s="12">
        <v>8.9888809240205454</v>
      </c>
      <c r="BQ21" s="12">
        <v>14.884643722775817</v>
      </c>
      <c r="BR21" s="12">
        <v>13.236543914032373</v>
      </c>
      <c r="BS21" s="12">
        <v>9.0406476462530883</v>
      </c>
      <c r="BT21" s="12">
        <v>7.4099797021894744</v>
      </c>
      <c r="BU21" s="12">
        <v>6.9482800679910932</v>
      </c>
      <c r="BV21" s="12">
        <v>8.2162921818721362</v>
      </c>
      <c r="BW21" s="12">
        <v>6.585737902917117</v>
      </c>
      <c r="BX21" s="12">
        <v>6.2117298508500323</v>
      </c>
      <c r="BY21" s="12">
        <v>6.9866857509966103</v>
      </c>
      <c r="BZ21" s="12">
        <v>6.2042226163649836</v>
      </c>
      <c r="CA21" s="12">
        <v>5.5702087304977548</v>
      </c>
      <c r="CB21" s="12">
        <v>6.3599032779613971</v>
      </c>
      <c r="CC21" s="12">
        <v>6.4547587460302882</v>
      </c>
      <c r="CD21" s="12">
        <v>4.1558400227019723</v>
      </c>
      <c r="CE21" s="12">
        <v>5.9805450397689519</v>
      </c>
      <c r="CF21" s="12">
        <v>8.6152711358412759</v>
      </c>
      <c r="CG21" s="12">
        <v>7.7083500799371221</v>
      </c>
      <c r="CH21" s="12">
        <v>6.1969512473238062</v>
      </c>
      <c r="CI21" s="12">
        <v>6.7765034953706671</v>
      </c>
      <c r="CJ21" s="12">
        <v>7.8819433974275208</v>
      </c>
    </row>
    <row r="22" spans="1:88" ht="20.149999999999999" customHeight="1" x14ac:dyDescent="0.25">
      <c r="A22" s="66" t="s">
        <v>114</v>
      </c>
      <c r="B22" s="47">
        <v>18.215671070293727</v>
      </c>
      <c r="C22" s="47">
        <v>18.769396835988115</v>
      </c>
      <c r="D22" s="47">
        <v>16.480544571968021</v>
      </c>
      <c r="E22" s="47">
        <v>17.765810412210932</v>
      </c>
      <c r="F22" s="47">
        <v>16.807866482852905</v>
      </c>
      <c r="G22" s="47">
        <v>16.423900956259537</v>
      </c>
      <c r="H22" s="47">
        <v>17.194524753945096</v>
      </c>
      <c r="I22" s="47">
        <v>15.69565443697665</v>
      </c>
      <c r="J22" s="47">
        <v>14.657684866024976</v>
      </c>
      <c r="K22" s="47">
        <v>15.104436380023836</v>
      </c>
      <c r="L22" s="11">
        <v>15.525355415098415</v>
      </c>
      <c r="M22" s="11">
        <v>13.889281522133249</v>
      </c>
      <c r="N22" s="11">
        <v>14.207409346878197</v>
      </c>
      <c r="O22" s="11">
        <v>10.582510623924207</v>
      </c>
      <c r="P22" s="11">
        <v>13.135384449268223</v>
      </c>
      <c r="Q22" s="11">
        <v>11.505259214715943</v>
      </c>
      <c r="R22" s="78">
        <f t="shared" si="20"/>
        <v>10.757630634555461</v>
      </c>
      <c r="S22" s="11">
        <v>10.010002054394981</v>
      </c>
      <c r="T22" s="11">
        <v>11.11272038690857</v>
      </c>
      <c r="U22" s="11">
        <v>10.89084290297464</v>
      </c>
      <c r="V22" s="11">
        <v>11.053139529374443</v>
      </c>
      <c r="W22" s="11">
        <v>10.679849024311975</v>
      </c>
      <c r="X22" s="11">
        <v>11.129018995148424</v>
      </c>
      <c r="Y22" s="11">
        <v>12.342603605249993</v>
      </c>
      <c r="Z22" s="11">
        <v>12.898337769772505</v>
      </c>
      <c r="AA22" s="11">
        <v>12.102163745990817</v>
      </c>
      <c r="AB22" s="11">
        <v>12.004953075458122</v>
      </c>
      <c r="AC22" s="11">
        <v>10.133594506996575</v>
      </c>
      <c r="AD22" s="11">
        <v>11.253476452182737</v>
      </c>
      <c r="AE22" s="11">
        <v>9.9453543726666993</v>
      </c>
      <c r="AF22" s="12">
        <v>9.2979595999636189</v>
      </c>
      <c r="AG22" s="12">
        <v>10.52335451045715</v>
      </c>
      <c r="AH22" s="12">
        <v>10.304092533678959</v>
      </c>
      <c r="AI22" s="12">
        <v>9.8030433004776594</v>
      </c>
      <c r="AJ22" s="12">
        <v>9.7366421286252471</v>
      </c>
      <c r="AK22" s="12">
        <v>10.055960555064791</v>
      </c>
      <c r="AL22" s="12">
        <v>11.447911838629572</v>
      </c>
      <c r="AM22" s="12">
        <v>8.8422398799915474</v>
      </c>
      <c r="AN22" s="12">
        <v>12</v>
      </c>
      <c r="AO22" s="12">
        <v>10.9</v>
      </c>
      <c r="AP22" s="12">
        <v>10.058817887380846</v>
      </c>
      <c r="AQ22" s="12">
        <v>8.8914673314330255</v>
      </c>
      <c r="AR22" s="12">
        <v>9.717814047351073</v>
      </c>
      <c r="AS22" s="12">
        <v>9.9467983014124712</v>
      </c>
      <c r="AT22" s="12">
        <v>11.288062185100706</v>
      </c>
      <c r="AU22" s="12">
        <v>9.5976255472136245</v>
      </c>
      <c r="AV22" s="12">
        <v>10.58736934053856</v>
      </c>
      <c r="AW22" s="12">
        <v>8.9973007632565167</v>
      </c>
      <c r="AX22" s="78">
        <f t="shared" si="21"/>
        <v>11.802712753396825</v>
      </c>
      <c r="AY22" s="78">
        <f t="shared" si="22"/>
        <v>13.205418748466979</v>
      </c>
      <c r="AZ22" s="78">
        <f t="shared" si="23"/>
        <v>13.906771746002057</v>
      </c>
      <c r="BA22" s="12">
        <v>14.608124743537134</v>
      </c>
      <c r="BB22" s="12">
        <v>12.748055332825855</v>
      </c>
      <c r="BC22" s="12">
        <v>11.172407372928692</v>
      </c>
      <c r="BD22" s="12">
        <v>12.229489095422144</v>
      </c>
      <c r="BE22" s="12">
        <v>12.724434738617807</v>
      </c>
      <c r="BF22" s="12">
        <v>12.859002529356072</v>
      </c>
      <c r="BG22" s="12">
        <v>11.01791546682643</v>
      </c>
      <c r="BH22" s="12">
        <v>11.984328548118404</v>
      </c>
      <c r="BI22" s="12">
        <v>11.868328370647911</v>
      </c>
      <c r="BJ22" s="12">
        <v>11.869601802906956</v>
      </c>
      <c r="BK22" s="50">
        <v>13.414313743614448</v>
      </c>
      <c r="BL22" s="12">
        <v>13.829216707020157</v>
      </c>
      <c r="BM22" s="12">
        <v>14.907488681511596</v>
      </c>
      <c r="BN22" s="12">
        <v>14.257885064863689</v>
      </c>
      <c r="BO22" s="12">
        <v>13.961442071137883</v>
      </c>
      <c r="BP22" s="12">
        <v>14.481807336713389</v>
      </c>
      <c r="BQ22" s="12">
        <v>18.514448105987693</v>
      </c>
      <c r="BR22" s="12">
        <v>18.502452317089784</v>
      </c>
      <c r="BS22" s="12">
        <v>17.572230227495805</v>
      </c>
      <c r="BT22" s="12">
        <v>13.12932610546002</v>
      </c>
      <c r="BU22" s="12">
        <v>12.933058548142974</v>
      </c>
      <c r="BV22" s="12">
        <v>13.119535633852927</v>
      </c>
      <c r="BW22" s="12">
        <v>10.19828877659319</v>
      </c>
      <c r="BX22" s="12">
        <v>9.5999085505258339</v>
      </c>
      <c r="BY22" s="12">
        <v>7.9572740973253353</v>
      </c>
      <c r="BZ22" s="12">
        <v>9.4111808187598882</v>
      </c>
      <c r="CA22" s="12">
        <v>8.1880072310473473</v>
      </c>
      <c r="CB22" s="12">
        <v>9.651271868039057</v>
      </c>
      <c r="CC22" s="12">
        <v>8.1927672014526323</v>
      </c>
      <c r="CD22" s="12">
        <v>6.8364207453653583</v>
      </c>
      <c r="CE22" s="12">
        <v>7.5631416945790617</v>
      </c>
      <c r="CF22" s="12">
        <v>9.7671819897984857</v>
      </c>
      <c r="CG22" s="12">
        <v>10.468876576139277</v>
      </c>
      <c r="CH22" s="12">
        <v>10.218477575147517</v>
      </c>
      <c r="CI22" s="12">
        <v>9.2592986203732721</v>
      </c>
      <c r="CJ22" s="12">
        <v>10.213921450069186</v>
      </c>
    </row>
    <row r="23" spans="1:88" ht="20.149999999999999" customHeight="1" x14ac:dyDescent="0.25">
      <c r="A23" s="66" t="s">
        <v>115</v>
      </c>
      <c r="B23" s="47">
        <v>17.045638293071807</v>
      </c>
      <c r="C23" s="47">
        <v>14.983738200137573</v>
      </c>
      <c r="D23" s="47">
        <v>16.51481721088112</v>
      </c>
      <c r="E23" s="47">
        <v>16.544759609252328</v>
      </c>
      <c r="F23" s="47">
        <v>14.051649099920008</v>
      </c>
      <c r="G23" s="47">
        <v>11.510858789543441</v>
      </c>
      <c r="H23" s="47">
        <v>13.702420631679121</v>
      </c>
      <c r="I23" s="47">
        <v>12.602643952762202</v>
      </c>
      <c r="J23" s="47">
        <v>12.096200303772619</v>
      </c>
      <c r="K23" s="47">
        <v>10.554585298196949</v>
      </c>
      <c r="L23" s="11">
        <v>11.535861281018208</v>
      </c>
      <c r="M23" s="11">
        <v>11.659025106961927</v>
      </c>
      <c r="N23" s="11">
        <v>11.037076853527324</v>
      </c>
      <c r="O23" s="11">
        <v>10.919269782044577</v>
      </c>
      <c r="P23" s="11">
        <v>10.350448933782268</v>
      </c>
      <c r="Q23" s="11">
        <v>9.3201811128001868</v>
      </c>
      <c r="R23" s="78">
        <f t="shared" si="20"/>
        <v>8.8825641549560359</v>
      </c>
      <c r="S23" s="11">
        <v>8.444947197111885</v>
      </c>
      <c r="T23" s="11">
        <v>8.9905753630568395</v>
      </c>
      <c r="U23" s="11">
        <v>8.2491327762927096</v>
      </c>
      <c r="V23" s="11">
        <v>7.7815319669900491</v>
      </c>
      <c r="W23" s="11">
        <v>6.9299208310017946</v>
      </c>
      <c r="X23" s="11">
        <v>8.6476981795610488</v>
      </c>
      <c r="Y23" s="11">
        <v>9.2347766434993339</v>
      </c>
      <c r="Z23" s="11">
        <v>8.8805191644930428</v>
      </c>
      <c r="AA23" s="11">
        <v>7.7348180771951451</v>
      </c>
      <c r="AB23" s="11">
        <v>8.9750841692352612</v>
      </c>
      <c r="AC23" s="11">
        <v>8.6531107438334249</v>
      </c>
      <c r="AD23" s="11">
        <v>7.5902077814487043</v>
      </c>
      <c r="AE23" s="11">
        <v>7.9251733927175065</v>
      </c>
      <c r="AF23" s="12">
        <v>8.2578081887841464</v>
      </c>
      <c r="AG23" s="12">
        <v>6.8944883191829422</v>
      </c>
      <c r="AH23" s="12">
        <v>7.4963669172761938</v>
      </c>
      <c r="AI23" s="12">
        <v>7.2897178162592997</v>
      </c>
      <c r="AJ23" s="12">
        <v>7.7641428454318984</v>
      </c>
      <c r="AK23" s="12">
        <v>8.5159921085271009</v>
      </c>
      <c r="AL23" s="12">
        <v>8.3076206963613348</v>
      </c>
      <c r="AM23" s="12">
        <v>7.9027127864581894</v>
      </c>
      <c r="AN23" s="12">
        <v>7.9</v>
      </c>
      <c r="AO23" s="12">
        <v>7.4</v>
      </c>
      <c r="AP23" s="12">
        <v>7.2391481864631952</v>
      </c>
      <c r="AQ23" s="12">
        <v>6.9756210174621218</v>
      </c>
      <c r="AR23" s="12">
        <v>7.2026491650059299</v>
      </c>
      <c r="AS23" s="12">
        <v>7.680806424385656</v>
      </c>
      <c r="AT23" s="12">
        <v>7.660620358555863</v>
      </c>
      <c r="AU23" s="12">
        <v>7.9965531254746312</v>
      </c>
      <c r="AV23" s="12">
        <v>6.7092616431973093</v>
      </c>
      <c r="AW23" s="12">
        <v>7.1367937010904869</v>
      </c>
      <c r="AX23" s="78">
        <f t="shared" si="21"/>
        <v>8.1535301730658158</v>
      </c>
      <c r="AY23" s="78">
        <f t="shared" si="22"/>
        <v>8.6618984090534816</v>
      </c>
      <c r="AZ23" s="78">
        <f t="shared" si="23"/>
        <v>8.9160825270473136</v>
      </c>
      <c r="BA23" s="12">
        <v>9.1702666450411456</v>
      </c>
      <c r="BB23" s="12">
        <v>8.5564780469514066</v>
      </c>
      <c r="BC23" s="12">
        <v>7.7505809342739092</v>
      </c>
      <c r="BD23" s="12">
        <v>8.8564550999203249</v>
      </c>
      <c r="BE23" s="12">
        <v>8.9524327504781347</v>
      </c>
      <c r="BF23" s="12">
        <v>7.9115966466546688</v>
      </c>
      <c r="BG23" s="12">
        <v>7.5461897984964335</v>
      </c>
      <c r="BH23" s="12">
        <v>9.6735649110751645</v>
      </c>
      <c r="BI23" s="12">
        <v>10.440904753899053</v>
      </c>
      <c r="BJ23" s="12">
        <v>10.514414878213586</v>
      </c>
      <c r="BK23" s="50">
        <v>10.112724556653358</v>
      </c>
      <c r="BL23" s="12">
        <v>11.346753784052748</v>
      </c>
      <c r="BM23" s="12">
        <v>11.644675685306851</v>
      </c>
      <c r="BN23" s="12">
        <v>10.992402665541984</v>
      </c>
      <c r="BO23" s="12">
        <v>9.3086551990873065</v>
      </c>
      <c r="BP23" s="12">
        <v>11.546484537463728</v>
      </c>
      <c r="BQ23" s="12">
        <v>13.152210969750467</v>
      </c>
      <c r="BR23" s="12">
        <v>12.668420668028011</v>
      </c>
      <c r="BS23" s="12">
        <v>12.092153218892047</v>
      </c>
      <c r="BT23" s="12">
        <v>12.337758964710932</v>
      </c>
      <c r="BU23" s="12">
        <v>10.993995956104804</v>
      </c>
      <c r="BV23" s="12">
        <v>8.6160316106234234</v>
      </c>
      <c r="BW23" s="12">
        <v>7.8647356531180508</v>
      </c>
      <c r="BX23" s="12">
        <v>8.4327942515395815</v>
      </c>
      <c r="BY23" s="12">
        <v>7.9481759119702042</v>
      </c>
      <c r="BZ23" s="12">
        <v>8.9980618001489905</v>
      </c>
      <c r="CA23" s="12">
        <v>7.421257573407769</v>
      </c>
      <c r="CB23" s="12">
        <v>7.128612088705415</v>
      </c>
      <c r="CC23" s="12">
        <v>6.6322773614228074</v>
      </c>
      <c r="CD23" s="12">
        <v>7.2306322101186513</v>
      </c>
      <c r="CE23" s="12">
        <v>6.7202558430987835</v>
      </c>
      <c r="CF23" s="12">
        <v>9.1107344774516079</v>
      </c>
      <c r="CG23" s="12">
        <v>8.9610491509795747</v>
      </c>
      <c r="CH23" s="12">
        <v>7.6752067764429635</v>
      </c>
      <c r="CI23" s="12">
        <v>7.4938470013969454</v>
      </c>
      <c r="CJ23" s="12">
        <v>9.0581858995511588</v>
      </c>
    </row>
    <row r="24" spans="1:88" ht="20.149999999999999" customHeight="1" x14ac:dyDescent="0.25">
      <c r="A24" s="66" t="s">
        <v>116</v>
      </c>
      <c r="B24" s="47">
        <v>20.921584389783117</v>
      </c>
      <c r="C24" s="47">
        <v>17.141407813548142</v>
      </c>
      <c r="D24" s="47">
        <v>19.542964870320333</v>
      </c>
      <c r="E24" s="47">
        <v>17.636817971786222</v>
      </c>
      <c r="F24" s="47">
        <v>16.745578908229074</v>
      </c>
      <c r="G24" s="47">
        <v>13.458306382169512</v>
      </c>
      <c r="H24" s="47">
        <v>16.364899851270557</v>
      </c>
      <c r="I24" s="47">
        <v>14.4248484738551</v>
      </c>
      <c r="J24" s="47">
        <v>13.741530983301429</v>
      </c>
      <c r="K24" s="47">
        <v>10.511364563980161</v>
      </c>
      <c r="L24" s="11">
        <v>14.260928677934368</v>
      </c>
      <c r="M24" s="11">
        <v>13.487994842953855</v>
      </c>
      <c r="N24" s="11">
        <v>12.613359922634743</v>
      </c>
      <c r="O24" s="11">
        <v>10.545446297808365</v>
      </c>
      <c r="P24" s="11">
        <v>13.911187906962425</v>
      </c>
      <c r="Q24" s="11">
        <v>10.430370325986521</v>
      </c>
      <c r="R24" s="78">
        <f t="shared" si="20"/>
        <v>9.4967108941451617</v>
      </c>
      <c r="S24" s="11">
        <v>8.5630514623038021</v>
      </c>
      <c r="T24" s="11">
        <v>10.556020654305714</v>
      </c>
      <c r="U24" s="11">
        <v>8.8611879847493267</v>
      </c>
      <c r="V24" s="11">
        <v>9.010464393676072</v>
      </c>
      <c r="W24" s="11">
        <v>7.5003642153241001</v>
      </c>
      <c r="X24" s="11">
        <v>11.32877807661554</v>
      </c>
      <c r="Y24" s="11">
        <v>10.952420482866968</v>
      </c>
      <c r="Z24" s="11">
        <v>10.068413427605591</v>
      </c>
      <c r="AA24" s="11">
        <v>9.2383315130155843</v>
      </c>
      <c r="AB24" s="11">
        <v>10.44939493846414</v>
      </c>
      <c r="AC24" s="11">
        <v>11.109993449705835</v>
      </c>
      <c r="AD24" s="11">
        <v>10.067954901539125</v>
      </c>
      <c r="AE24" s="11">
        <v>9.6704890909124508</v>
      </c>
      <c r="AF24" s="12">
        <v>9.6355012126883484</v>
      </c>
      <c r="AG24" s="12">
        <v>9.6231268070110652</v>
      </c>
      <c r="AH24" s="12">
        <v>11.221105212808768</v>
      </c>
      <c r="AI24" s="12">
        <v>8.1762649914896546</v>
      </c>
      <c r="AJ24" s="12">
        <v>9.531385762004982</v>
      </c>
      <c r="AK24" s="12">
        <v>8.8215281102659304</v>
      </c>
      <c r="AL24" s="12">
        <v>9.8486392408316643</v>
      </c>
      <c r="AM24" s="12">
        <v>8.925999243700538</v>
      </c>
      <c r="AN24" s="12">
        <v>11.4</v>
      </c>
      <c r="AO24" s="12">
        <v>9.5</v>
      </c>
      <c r="AP24" s="12">
        <v>10.574997195180492</v>
      </c>
      <c r="AQ24" s="12">
        <v>8.185539642517714</v>
      </c>
      <c r="AR24" s="12">
        <v>9.8037850667802928</v>
      </c>
      <c r="AS24" s="12">
        <v>9.9692609515740198</v>
      </c>
      <c r="AT24" s="12">
        <v>10.359496764131778</v>
      </c>
      <c r="AU24" s="12">
        <v>8.3033645837014678</v>
      </c>
      <c r="AV24" s="12">
        <v>8.96159300498989</v>
      </c>
      <c r="AW24" s="12">
        <v>9.02459511361171</v>
      </c>
      <c r="AX24" s="78">
        <f t="shared" si="21"/>
        <v>11.379342584205261</v>
      </c>
      <c r="AY24" s="78">
        <f t="shared" si="22"/>
        <v>12.556716319502037</v>
      </c>
      <c r="AZ24" s="78">
        <f t="shared" si="23"/>
        <v>13.145403187150425</v>
      </c>
      <c r="BA24" s="12">
        <v>13.734090054798815</v>
      </c>
      <c r="BB24" s="12">
        <v>11.814438464117849</v>
      </c>
      <c r="BC24" s="12">
        <v>11.85128444432705</v>
      </c>
      <c r="BD24" s="12">
        <v>13.451189246415296</v>
      </c>
      <c r="BE24" s="12">
        <v>10.087887356868098</v>
      </c>
      <c r="BF24" s="12">
        <v>9.9435858016668384</v>
      </c>
      <c r="BG24" s="12">
        <v>9.2974023157235433</v>
      </c>
      <c r="BH24" s="12">
        <v>12.100755656919254</v>
      </c>
      <c r="BI24" s="12">
        <v>12.164593629303543</v>
      </c>
      <c r="BJ24" s="12">
        <v>11.365351017038156</v>
      </c>
      <c r="BK24" s="50">
        <v>11.198906896123715</v>
      </c>
      <c r="BL24" s="12">
        <v>12.167549652605764</v>
      </c>
      <c r="BM24" s="12">
        <v>12.8855650716678</v>
      </c>
      <c r="BN24" s="12">
        <v>11.880538958174599</v>
      </c>
      <c r="BO24" s="12">
        <v>10.949776441243895</v>
      </c>
      <c r="BP24" s="12">
        <v>14.044515315603654</v>
      </c>
      <c r="BQ24" s="12">
        <v>16.089302759179699</v>
      </c>
      <c r="BR24" s="12">
        <v>11.430198246486066</v>
      </c>
      <c r="BS24" s="12">
        <v>10.687475978963654</v>
      </c>
      <c r="BT24" s="12">
        <v>12.567885237818688</v>
      </c>
      <c r="BU24" s="12">
        <v>14.118127605455324</v>
      </c>
      <c r="BV24" s="12">
        <v>12.408107784022329</v>
      </c>
      <c r="BW24" s="12">
        <v>8.1666888713336494</v>
      </c>
      <c r="BX24" s="12">
        <v>6.8998803528092916</v>
      </c>
      <c r="BY24" s="12">
        <v>9.2540326349040214</v>
      </c>
      <c r="BZ24" s="12">
        <v>8.923622642965519</v>
      </c>
      <c r="CA24" s="12">
        <v>8.7889582565945261</v>
      </c>
      <c r="CB24" s="12">
        <v>8.9587015414463327</v>
      </c>
      <c r="CC24" s="12">
        <v>8.3618545057288145</v>
      </c>
      <c r="CD24" s="12">
        <v>8.2691401751753499</v>
      </c>
      <c r="CE24" s="12">
        <v>7.9760576277172284</v>
      </c>
      <c r="CF24" s="12">
        <v>9.2555258307174118</v>
      </c>
      <c r="CG24" s="12">
        <v>8.8358647641103758</v>
      </c>
      <c r="CH24" s="12">
        <v>8.289178180305159</v>
      </c>
      <c r="CI24" s="12">
        <v>7.6175305441931327</v>
      </c>
      <c r="CJ24" s="12">
        <v>9.1499386877838216</v>
      </c>
    </row>
    <row r="25" spans="1:88" ht="20.149999999999999" customHeight="1" thickBot="1" x14ac:dyDescent="0.3">
      <c r="A25" s="66" t="s">
        <v>117</v>
      </c>
      <c r="B25" s="47">
        <v>6.5153391915400256</v>
      </c>
      <c r="C25" s="47">
        <v>6.4629858899082464</v>
      </c>
      <c r="D25" s="47">
        <v>6.3829953507608668</v>
      </c>
      <c r="E25" s="47">
        <v>5.9969873792337172</v>
      </c>
      <c r="F25" s="47">
        <v>5.5075634946580463</v>
      </c>
      <c r="G25" s="47">
        <v>5.0539586578071862</v>
      </c>
      <c r="H25" s="47">
        <v>6.2259626644273673</v>
      </c>
      <c r="I25" s="47">
        <v>5.6515319139836739</v>
      </c>
      <c r="J25" s="47">
        <v>4.3957496313515581</v>
      </c>
      <c r="K25" s="47">
        <v>3.920840849719974</v>
      </c>
      <c r="L25" s="11">
        <v>4.4926738973676574</v>
      </c>
      <c r="M25" s="11">
        <v>4.1560960618675731</v>
      </c>
      <c r="N25" s="11">
        <v>3.6515893784094549</v>
      </c>
      <c r="O25" s="11">
        <v>2.8244773040302413</v>
      </c>
      <c r="P25" s="11">
        <v>3.4946040074356635</v>
      </c>
      <c r="Q25" s="11">
        <v>3.8430912305201077</v>
      </c>
      <c r="R25" s="78">
        <f t="shared" si="20"/>
        <v>3.7362188897281143</v>
      </c>
      <c r="S25" s="11">
        <v>3.629346548936121</v>
      </c>
      <c r="T25" s="11">
        <v>4.4544142023018738</v>
      </c>
      <c r="U25" s="11">
        <v>3.9400037128558116</v>
      </c>
      <c r="V25" s="11">
        <v>3.8295672693147882</v>
      </c>
      <c r="W25" s="11">
        <v>3.0842859609031348</v>
      </c>
      <c r="X25" s="11">
        <v>4.3158755100712121</v>
      </c>
      <c r="Y25" s="11">
        <v>3.4469306708337566</v>
      </c>
      <c r="Z25" s="11">
        <v>4.2301005921773873</v>
      </c>
      <c r="AA25" s="11">
        <v>4.2263048472791018</v>
      </c>
      <c r="AB25" s="11">
        <v>3.174275240154885</v>
      </c>
      <c r="AC25" s="11">
        <v>3.176691135067796</v>
      </c>
      <c r="AD25" s="11">
        <v>2.671489097139025</v>
      </c>
      <c r="AE25" s="11">
        <v>3.143765241731066</v>
      </c>
      <c r="AF25" s="12">
        <v>2.8468114963411337</v>
      </c>
      <c r="AG25" s="12">
        <v>3.0830761452507889</v>
      </c>
      <c r="AH25" s="12">
        <v>2.8339755308443464</v>
      </c>
      <c r="AI25" s="12">
        <v>2.8938533198157574</v>
      </c>
      <c r="AJ25" s="12">
        <v>3.0186205373130335</v>
      </c>
      <c r="AK25" s="12">
        <v>3.09821123848146</v>
      </c>
      <c r="AL25" s="12">
        <v>2.7586180521442936</v>
      </c>
      <c r="AM25" s="12">
        <v>3.057628114250857</v>
      </c>
      <c r="AN25" s="12">
        <v>3.5</v>
      </c>
      <c r="AO25" s="12">
        <v>3.7</v>
      </c>
      <c r="AP25" s="12">
        <v>2.964890064338574</v>
      </c>
      <c r="AQ25" s="12">
        <v>2.7147737300966575</v>
      </c>
      <c r="AR25" s="12">
        <v>3.5651654773509671</v>
      </c>
      <c r="AS25" s="12">
        <v>3.2522892583782328</v>
      </c>
      <c r="AT25" s="12">
        <v>2.9581954000870807</v>
      </c>
      <c r="AU25" s="12">
        <v>3.2376662858957803</v>
      </c>
      <c r="AV25" s="12">
        <v>3.3395824613310241</v>
      </c>
      <c r="AW25" s="12">
        <v>3.0844883357341755</v>
      </c>
      <c r="AX25" s="78">
        <f t="shared" si="21"/>
        <v>3.2125606533013737</v>
      </c>
      <c r="AY25" s="78">
        <f t="shared" si="22"/>
        <v>3.2765968120849731</v>
      </c>
      <c r="AZ25" s="78">
        <f t="shared" si="23"/>
        <v>3.3086148914767728</v>
      </c>
      <c r="BA25" s="12">
        <v>3.3406329708685725</v>
      </c>
      <c r="BB25" s="12">
        <v>2.9406877780796123</v>
      </c>
      <c r="BC25" s="12">
        <v>2.5141951032928183</v>
      </c>
      <c r="BD25" s="12">
        <v>3.7179325472377567</v>
      </c>
      <c r="BE25" s="12">
        <v>3.3060227840484275</v>
      </c>
      <c r="BF25" s="12">
        <v>3.1548534570960975</v>
      </c>
      <c r="BG25" s="12">
        <v>2.9152459611620505</v>
      </c>
      <c r="BH25" s="12">
        <v>4.1468592581311956</v>
      </c>
      <c r="BI25" s="12">
        <v>4.0163809981287208</v>
      </c>
      <c r="BJ25" s="12">
        <v>3.3720279187609474</v>
      </c>
      <c r="BK25" s="50">
        <v>3.0244464834516376</v>
      </c>
      <c r="BL25" s="12">
        <v>4.2633382117033998</v>
      </c>
      <c r="BM25" s="12">
        <v>4.156954105630831</v>
      </c>
      <c r="BN25" s="12">
        <v>3.6882799648090723</v>
      </c>
      <c r="BO25" s="12">
        <v>3.4264667302477863</v>
      </c>
      <c r="BP25" s="12">
        <v>4.0596456114604145</v>
      </c>
      <c r="BQ25" s="12">
        <v>4.8909880611471008</v>
      </c>
      <c r="BR25" s="12">
        <v>4.5414274959689571</v>
      </c>
      <c r="BS25" s="12">
        <v>5.2761613538858976</v>
      </c>
      <c r="BT25" s="12">
        <v>4.6775490883021149</v>
      </c>
      <c r="BU25" s="12">
        <v>4.1544929046902768</v>
      </c>
      <c r="BV25" s="12">
        <v>2.3068503200918267</v>
      </c>
      <c r="BW25" s="12">
        <v>2.6246489002112701</v>
      </c>
      <c r="BX25" s="12">
        <v>4.0485997456848564</v>
      </c>
      <c r="BY25" s="12">
        <v>3.147347463097268</v>
      </c>
      <c r="BZ25" s="12">
        <v>2.3799620940252475</v>
      </c>
      <c r="CA25" s="12">
        <v>2.0164080410083338</v>
      </c>
      <c r="CB25" s="12">
        <v>3.3578651209952062</v>
      </c>
      <c r="CC25" s="12">
        <v>2.936290621494444</v>
      </c>
      <c r="CD25" s="12">
        <v>2.1925420674709679</v>
      </c>
      <c r="CE25" s="12">
        <v>1.678631684447722</v>
      </c>
      <c r="CF25" s="12">
        <v>2.9730052123731996</v>
      </c>
      <c r="CG25" s="12">
        <v>2.6656469584347962</v>
      </c>
      <c r="CH25" s="12">
        <v>3.3392532802853778</v>
      </c>
      <c r="CI25" s="12">
        <v>2.6890861062093365</v>
      </c>
      <c r="CJ25" s="12">
        <v>3.5543697929947817</v>
      </c>
    </row>
    <row r="26" spans="1:88" ht="30" customHeight="1" thickBot="1" x14ac:dyDescent="0.3">
      <c r="A26" s="85" t="s">
        <v>118</v>
      </c>
      <c r="B26" s="86">
        <f t="shared" ref="B26:BM26" si="24">AVERAGE(B27:B31)</f>
        <v>15.401838584727557</v>
      </c>
      <c r="C26" s="86">
        <f t="shared" si="24"/>
        <v>13.737693677292768</v>
      </c>
      <c r="D26" s="86">
        <f t="shared" si="24"/>
        <v>13.596562723318623</v>
      </c>
      <c r="E26" s="86">
        <f t="shared" si="24"/>
        <v>14.028808517342586</v>
      </c>
      <c r="F26" s="86">
        <f t="shared" si="24"/>
        <v>12.624897330901046</v>
      </c>
      <c r="G26" s="86">
        <f t="shared" si="24"/>
        <v>11.429270558238898</v>
      </c>
      <c r="H26" s="86">
        <f t="shared" si="24"/>
        <v>12.438284483596645</v>
      </c>
      <c r="I26" s="86">
        <f t="shared" si="24"/>
        <v>11.618634323177819</v>
      </c>
      <c r="J26" s="86">
        <f t="shared" si="24"/>
        <v>10.794942552402492</v>
      </c>
      <c r="K26" s="86">
        <f t="shared" si="24"/>
        <v>9.7562619628015916</v>
      </c>
      <c r="L26" s="86">
        <f t="shared" si="24"/>
        <v>11.056372746939392</v>
      </c>
      <c r="M26" s="86">
        <f t="shared" si="24"/>
        <v>10.19117125431141</v>
      </c>
      <c r="N26" s="86">
        <f t="shared" si="24"/>
        <v>9.9506128497872766</v>
      </c>
      <c r="O26" s="86">
        <f t="shared" si="24"/>
        <v>8.4786245872804678</v>
      </c>
      <c r="P26" s="86">
        <f t="shared" si="24"/>
        <v>9.5597477765135466</v>
      </c>
      <c r="Q26" s="86">
        <f t="shared" si="24"/>
        <v>8.2566259356656992</v>
      </c>
      <c r="R26" s="86">
        <f t="shared" si="24"/>
        <v>7.892927127628548</v>
      </c>
      <c r="S26" s="86">
        <f t="shared" si="24"/>
        <v>7.5292283195913967</v>
      </c>
      <c r="T26" s="86">
        <f t="shared" si="24"/>
        <v>8.3082819248301938</v>
      </c>
      <c r="U26" s="86">
        <f t="shared" si="24"/>
        <v>7.952535038153246</v>
      </c>
      <c r="V26" s="86">
        <f t="shared" si="24"/>
        <v>7.6888500220779035</v>
      </c>
      <c r="W26" s="86">
        <f t="shared" si="24"/>
        <v>7.2668681762554117</v>
      </c>
      <c r="X26" s="86">
        <f t="shared" si="24"/>
        <v>8.3051316370987767</v>
      </c>
      <c r="Y26" s="86">
        <f t="shared" si="24"/>
        <v>8.7295181479548685</v>
      </c>
      <c r="Z26" s="86">
        <f t="shared" si="24"/>
        <v>9.0168505305259536</v>
      </c>
      <c r="AA26" s="86">
        <f t="shared" si="24"/>
        <v>8.3784894486729051</v>
      </c>
      <c r="AB26" s="86">
        <f t="shared" si="24"/>
        <v>8.270737371129588</v>
      </c>
      <c r="AC26" s="86">
        <f t="shared" si="24"/>
        <v>7.9491840216842009</v>
      </c>
      <c r="AD26" s="86">
        <f t="shared" si="24"/>
        <v>7.4656984097734638</v>
      </c>
      <c r="AE26" s="86">
        <f t="shared" si="24"/>
        <v>7.3660109942822345</v>
      </c>
      <c r="AF26" s="86">
        <f t="shared" si="24"/>
        <v>7.3654307477416463</v>
      </c>
      <c r="AG26" s="86">
        <f t="shared" si="24"/>
        <v>7.318580830429644</v>
      </c>
      <c r="AH26" s="86">
        <f t="shared" si="24"/>
        <v>7.2544117389513829</v>
      </c>
      <c r="AI26" s="86">
        <f t="shared" si="24"/>
        <v>6.7742360849730572</v>
      </c>
      <c r="AJ26" s="86">
        <f t="shared" si="24"/>
        <v>7.0920706236936555</v>
      </c>
      <c r="AK26" s="86">
        <f t="shared" si="24"/>
        <v>7.1556139082397845</v>
      </c>
      <c r="AL26" s="86">
        <f t="shared" si="24"/>
        <v>7.5176401855414285</v>
      </c>
      <c r="AM26" s="86">
        <f t="shared" si="24"/>
        <v>6.7846644770803497</v>
      </c>
      <c r="AN26" s="86">
        <f t="shared" si="24"/>
        <v>7.8154215019496664</v>
      </c>
      <c r="AO26" s="86">
        <f t="shared" si="24"/>
        <v>7.1681565992121303</v>
      </c>
      <c r="AP26" s="86">
        <f t="shared" si="24"/>
        <v>6.8145916939877527</v>
      </c>
      <c r="AQ26" s="86">
        <f t="shared" si="24"/>
        <v>6.4137061724751394</v>
      </c>
      <c r="AR26" s="86">
        <f t="shared" si="24"/>
        <v>7.069211564706805</v>
      </c>
      <c r="AS26" s="86">
        <f t="shared" si="24"/>
        <v>7.4743964329421457</v>
      </c>
      <c r="AT26" s="86">
        <f t="shared" si="24"/>
        <v>7.4277379489085291</v>
      </c>
      <c r="AU26" s="86">
        <f t="shared" si="24"/>
        <v>6.8410047905157949</v>
      </c>
      <c r="AV26" s="86">
        <f t="shared" si="24"/>
        <v>7.0624966323191716</v>
      </c>
      <c r="AW26" s="86">
        <f t="shared" si="24"/>
        <v>6.5049236145619194</v>
      </c>
      <c r="AX26" s="86">
        <f t="shared" si="24"/>
        <v>7.7248136116873996</v>
      </c>
      <c r="AY26" s="86">
        <f t="shared" si="24"/>
        <v>8.3347586102501374</v>
      </c>
      <c r="AZ26" s="86">
        <f t="shared" si="24"/>
        <v>8.6397311095315068</v>
      </c>
      <c r="BA26" s="86">
        <f t="shared" si="24"/>
        <v>8.9447036088128762</v>
      </c>
      <c r="BB26" s="86">
        <f t="shared" si="24"/>
        <v>8.2327820634448408</v>
      </c>
      <c r="BC26" s="86">
        <f t="shared" si="24"/>
        <v>7.2916762819857492</v>
      </c>
      <c r="BD26" s="86">
        <f t="shared" si="24"/>
        <v>8.8066886996237077</v>
      </c>
      <c r="BE26" s="86">
        <f t="shared" si="24"/>
        <v>7.2916762819857492</v>
      </c>
      <c r="BF26" s="86">
        <f t="shared" si="24"/>
        <v>7.9274453546138179</v>
      </c>
      <c r="BG26" s="86">
        <f t="shared" si="24"/>
        <v>6.8513703641305357</v>
      </c>
      <c r="BH26" s="86">
        <f t="shared" si="24"/>
        <v>8.806478592553546</v>
      </c>
      <c r="BI26" s="86">
        <f t="shared" si="24"/>
        <v>9.1415096407008285</v>
      </c>
      <c r="BJ26" s="86">
        <f t="shared" si="24"/>
        <v>8.5593998611565958</v>
      </c>
      <c r="BK26" s="86">
        <f t="shared" si="24"/>
        <v>8.6936371321878898</v>
      </c>
      <c r="BL26" s="86">
        <f t="shared" si="24"/>
        <v>9.7345344713982183</v>
      </c>
      <c r="BM26" s="86">
        <f t="shared" si="24"/>
        <v>10.166319176471328</v>
      </c>
      <c r="BN26" s="86">
        <f t="shared" ref="BN26:CH26" si="25">AVERAGE(BN27:BN31)</f>
        <v>9.3374399908543566</v>
      </c>
      <c r="BO26" s="86">
        <f t="shared" si="25"/>
        <v>8.7237666920642667</v>
      </c>
      <c r="BP26" s="86">
        <f t="shared" si="25"/>
        <v>9.4463004767359902</v>
      </c>
      <c r="BQ26" s="86">
        <f t="shared" si="25"/>
        <v>13.164246273010855</v>
      </c>
      <c r="BR26" s="86">
        <f t="shared" si="25"/>
        <v>11.417095581555124</v>
      </c>
      <c r="BS26" s="86">
        <f t="shared" si="25"/>
        <v>10.741838427552883</v>
      </c>
      <c r="BT26" s="86">
        <f t="shared" si="25"/>
        <v>9.927640734967472</v>
      </c>
      <c r="BU26" s="86">
        <f t="shared" si="25"/>
        <v>9.278462350836989</v>
      </c>
      <c r="BV26" s="86">
        <f t="shared" si="25"/>
        <v>8.0521561800264081</v>
      </c>
      <c r="BW26" s="86">
        <f t="shared" si="25"/>
        <v>7.2008327784611579</v>
      </c>
      <c r="BX26" s="86">
        <f t="shared" si="25"/>
        <v>6.8307416238248653</v>
      </c>
      <c r="BY26" s="86">
        <f t="shared" si="25"/>
        <v>6.7011899158397394</v>
      </c>
      <c r="BZ26" s="86">
        <f t="shared" si="25"/>
        <v>6.8287727238442413</v>
      </c>
      <c r="CA26" s="86">
        <f t="shared" si="25"/>
        <v>6.1195290624951753</v>
      </c>
      <c r="CB26" s="86">
        <f t="shared" si="25"/>
        <v>6.5410175964721731</v>
      </c>
      <c r="CC26" s="86">
        <f t="shared" si="25"/>
        <v>6.0855728946128504</v>
      </c>
      <c r="CD26" s="86">
        <f t="shared" si="25"/>
        <v>5.6592214829531997</v>
      </c>
      <c r="CE26" s="86">
        <f t="shared" si="25"/>
        <v>5.6368218422916687</v>
      </c>
      <c r="CF26" s="86">
        <f t="shared" si="25"/>
        <v>7.4269477463971167</v>
      </c>
      <c r="CG26" s="86">
        <f t="shared" si="25"/>
        <v>7.3332119213637057</v>
      </c>
      <c r="CH26" s="86">
        <f t="shared" si="25"/>
        <v>6.7715057187926577</v>
      </c>
      <c r="CI26" s="86">
        <f>AVERAGE(CI27:CI31)</f>
        <v>6.3541348461001466</v>
      </c>
      <c r="CJ26" s="87">
        <f>AVERAGE(CJ27:CJ31)</f>
        <v>7.7391608822761926</v>
      </c>
    </row>
    <row r="27" spans="1:88" ht="20.149999999999999" customHeight="1" x14ac:dyDescent="0.25">
      <c r="A27" s="66" t="s">
        <v>119</v>
      </c>
      <c r="B27" s="46">
        <v>28.332077872482316</v>
      </c>
      <c r="C27" s="46">
        <v>26.545857380354875</v>
      </c>
      <c r="D27" s="46">
        <v>25.318888366290409</v>
      </c>
      <c r="E27" s="46">
        <v>28.422151744247685</v>
      </c>
      <c r="F27" s="46">
        <v>24.466523788477122</v>
      </c>
      <c r="G27" s="46">
        <v>22.874098113135119</v>
      </c>
      <c r="H27" s="46">
        <v>23.725945733439076</v>
      </c>
      <c r="I27" s="46">
        <v>23.419827521712815</v>
      </c>
      <c r="J27" s="46">
        <v>21.374348171972038</v>
      </c>
      <c r="K27" s="46">
        <v>20.077924824917741</v>
      </c>
      <c r="L27" s="7">
        <v>21.829250628381544</v>
      </c>
      <c r="M27" s="7">
        <v>21.316556289084502</v>
      </c>
      <c r="N27" s="7">
        <v>19.465260360378732</v>
      </c>
      <c r="O27" s="7">
        <v>17.867062927983014</v>
      </c>
      <c r="P27" s="7">
        <v>18.632784118267338</v>
      </c>
      <c r="Q27" s="7">
        <v>16.990475807167797</v>
      </c>
      <c r="R27" s="78">
        <f t="shared" ref="R27:R31" si="26">+(Q27+S27)/2</f>
        <v>16.439158377579716</v>
      </c>
      <c r="S27" s="7">
        <v>15.887840947991632</v>
      </c>
      <c r="T27" s="7">
        <v>17.066378108974881</v>
      </c>
      <c r="U27" s="7">
        <v>19.571804779193133</v>
      </c>
      <c r="V27" s="7">
        <v>17.198890636246723</v>
      </c>
      <c r="W27" s="7">
        <v>16.933920598078682</v>
      </c>
      <c r="X27" s="7">
        <v>17.101966207088559</v>
      </c>
      <c r="Y27" s="7">
        <v>17.798063864925386</v>
      </c>
      <c r="Z27" s="7">
        <v>18.963961042357543</v>
      </c>
      <c r="AA27" s="7">
        <v>17.333875125179791</v>
      </c>
      <c r="AB27" s="7">
        <v>17.539711344328705</v>
      </c>
      <c r="AC27" s="7">
        <v>16.082095716166027</v>
      </c>
      <c r="AD27" s="7">
        <v>16.080218033391258</v>
      </c>
      <c r="AE27" s="7">
        <v>15.812747741659594</v>
      </c>
      <c r="AF27" s="7">
        <v>14.802773823270149</v>
      </c>
      <c r="AG27" s="7">
        <v>15.501164473173015</v>
      </c>
      <c r="AH27" s="7">
        <v>15.414330032215725</v>
      </c>
      <c r="AI27" s="7">
        <v>15.446549872369433</v>
      </c>
      <c r="AJ27" s="7">
        <v>16.462763317919325</v>
      </c>
      <c r="AK27" s="7">
        <v>15.400251573163645</v>
      </c>
      <c r="AL27" s="7">
        <v>17.230837818042861</v>
      </c>
      <c r="AM27" s="7">
        <v>15.066532391409879</v>
      </c>
      <c r="AN27" s="7">
        <v>17.446145851913208</v>
      </c>
      <c r="AO27" s="7">
        <v>15.65414071359311</v>
      </c>
      <c r="AP27" s="7">
        <v>13.154183271508794</v>
      </c>
      <c r="AQ27" s="7">
        <v>13.994020901721713</v>
      </c>
      <c r="AR27" s="7">
        <v>14.975788300900359</v>
      </c>
      <c r="AS27" s="7">
        <v>16.651622291013862</v>
      </c>
      <c r="AT27" s="7">
        <v>18.193275211556195</v>
      </c>
      <c r="AU27" s="7">
        <v>15.273062496550214</v>
      </c>
      <c r="AV27" s="7">
        <v>16.208250987938786</v>
      </c>
      <c r="AW27" s="7">
        <v>14.473409488993601</v>
      </c>
      <c r="AX27" s="78">
        <f t="shared" ref="AX27:AX31" si="27">+(AW27+BA27)/2</f>
        <v>17.362033818099746</v>
      </c>
      <c r="AY27" s="78">
        <f t="shared" ref="AY27:AY31" si="28">+(AX27+BA27)/2</f>
        <v>18.806345982652822</v>
      </c>
      <c r="AZ27" s="78">
        <f t="shared" ref="AZ27:AZ31" si="29">+(AY27+BA27)/2</f>
        <v>19.528502064929356</v>
      </c>
      <c r="BA27" s="30">
        <v>20.250658147205893</v>
      </c>
      <c r="BB27" s="7">
        <v>18.892825569705032</v>
      </c>
      <c r="BC27" s="7">
        <v>16.909929326069321</v>
      </c>
      <c r="BD27" s="7">
        <v>19.886922061296922</v>
      </c>
      <c r="BE27" s="7">
        <v>16.909929326069321</v>
      </c>
      <c r="BF27" s="7">
        <v>18.556051122178257</v>
      </c>
      <c r="BG27" s="7">
        <v>16.031765299844679</v>
      </c>
      <c r="BH27" s="7">
        <v>17.780877850785075</v>
      </c>
      <c r="BI27" s="7">
        <v>20.910731436888732</v>
      </c>
      <c r="BJ27" s="7">
        <v>20.201418625294487</v>
      </c>
      <c r="BK27" s="46">
        <v>20.998942863963091</v>
      </c>
      <c r="BL27" s="7">
        <v>21.756992290515342</v>
      </c>
      <c r="BM27" s="7">
        <v>24.119488099549692</v>
      </c>
      <c r="BN27" s="7">
        <v>22.790991041761043</v>
      </c>
      <c r="BO27" s="7">
        <v>21.078849207354949</v>
      </c>
      <c r="BP27" s="7">
        <v>21.266156471183571</v>
      </c>
      <c r="BQ27" s="7">
        <v>32.068779867790795</v>
      </c>
      <c r="BR27" s="7">
        <v>27.326916393605398</v>
      </c>
      <c r="BS27" s="7">
        <v>26.382855124781031</v>
      </c>
      <c r="BT27" s="7">
        <v>22.932573918897372</v>
      </c>
      <c r="BU27" s="7">
        <v>21.376914996326366</v>
      </c>
      <c r="BV27" s="7">
        <v>20.961458883292192</v>
      </c>
      <c r="BW27" s="7">
        <v>17.924858104471124</v>
      </c>
      <c r="BX27" s="7">
        <v>16.519997728250257</v>
      </c>
      <c r="BY27" s="7">
        <v>15.502986202349497</v>
      </c>
      <c r="BZ27" s="7">
        <v>16.119604251302938</v>
      </c>
      <c r="CA27" s="7">
        <v>14.329783802968002</v>
      </c>
      <c r="CB27" s="7">
        <v>16.111981429450303</v>
      </c>
      <c r="CC27" s="7">
        <v>14.536113821994057</v>
      </c>
      <c r="CD27" s="7">
        <v>13.060212444654676</v>
      </c>
      <c r="CE27" s="7">
        <v>12.6598183291286</v>
      </c>
      <c r="CF27" s="7">
        <v>16.255318958392504</v>
      </c>
      <c r="CG27" s="7">
        <v>17.693075285219436</v>
      </c>
      <c r="CH27" s="7">
        <v>14.884848329805129</v>
      </c>
      <c r="CI27" s="7">
        <v>15.569851169262588</v>
      </c>
      <c r="CJ27" s="7">
        <v>20.034266841206936</v>
      </c>
    </row>
    <row r="28" spans="1:88" ht="20.149999999999999" customHeight="1" x14ac:dyDescent="0.25">
      <c r="A28" s="66" t="s">
        <v>120</v>
      </c>
      <c r="B28" s="46">
        <v>18.414896697928508</v>
      </c>
      <c r="C28" s="46">
        <v>16.568354298928895</v>
      </c>
      <c r="D28" s="46">
        <v>17.013574620501753</v>
      </c>
      <c r="E28" s="46">
        <v>18.577063518908655</v>
      </c>
      <c r="F28" s="46">
        <v>15.075375546951797</v>
      </c>
      <c r="G28" s="46">
        <v>14.48533285740104</v>
      </c>
      <c r="H28" s="46">
        <v>15.562229800719956</v>
      </c>
      <c r="I28" s="46">
        <v>14.405625929766035</v>
      </c>
      <c r="J28" s="46">
        <v>12.989359384490237</v>
      </c>
      <c r="K28" s="46">
        <v>11.630956792141648</v>
      </c>
      <c r="L28" s="7">
        <v>14.158684130379463</v>
      </c>
      <c r="M28" s="7">
        <v>12.715833308186728</v>
      </c>
      <c r="N28" s="7">
        <v>13.246066613386045</v>
      </c>
      <c r="O28" s="7">
        <v>9.8245689906824563</v>
      </c>
      <c r="P28" s="7">
        <v>12.313624188784313</v>
      </c>
      <c r="Q28" s="7">
        <v>11.359033298049717</v>
      </c>
      <c r="R28" s="78">
        <f t="shared" si="26"/>
        <v>10.771770611757095</v>
      </c>
      <c r="S28" s="7">
        <v>10.184507925464475</v>
      </c>
      <c r="T28" s="7">
        <v>10.846003785403445</v>
      </c>
      <c r="U28" s="7">
        <v>8.5847146089023685</v>
      </c>
      <c r="V28" s="7">
        <v>9.1280634998947416</v>
      </c>
      <c r="W28" s="7">
        <v>8.9386243741931857</v>
      </c>
      <c r="X28" s="7">
        <v>10.163915333337613</v>
      </c>
      <c r="Y28" s="7">
        <v>11.810587887465015</v>
      </c>
      <c r="Z28" s="7">
        <v>11.270267200566121</v>
      </c>
      <c r="AA28" s="7">
        <v>9.4709678614944846</v>
      </c>
      <c r="AB28" s="7">
        <v>9.9315817732596336</v>
      </c>
      <c r="AC28" s="7">
        <v>9.6094241035421319</v>
      </c>
      <c r="AD28" s="7">
        <v>9.5833130540587526</v>
      </c>
      <c r="AE28" s="7">
        <v>9.1659949585087315</v>
      </c>
      <c r="AF28" s="7">
        <v>9.5970243287777457</v>
      </c>
      <c r="AG28" s="7">
        <v>9.712547717113404</v>
      </c>
      <c r="AH28" s="7">
        <v>8.8236778450281736</v>
      </c>
      <c r="AI28" s="7">
        <v>7.9270947844079158</v>
      </c>
      <c r="AJ28" s="7">
        <v>8.5044310914995371</v>
      </c>
      <c r="AK28" s="7">
        <v>9.3036579991185544</v>
      </c>
      <c r="AL28" s="7">
        <v>8.8495714104538603</v>
      </c>
      <c r="AM28" s="7">
        <v>8.6044003887855443</v>
      </c>
      <c r="AN28" s="7">
        <v>9.3445269587723079</v>
      </c>
      <c r="AO28" s="7">
        <v>8.1577674229114141</v>
      </c>
      <c r="AP28" s="7">
        <v>8.570627150479547</v>
      </c>
      <c r="AQ28" s="7">
        <v>7.8951807952367972</v>
      </c>
      <c r="AR28" s="7">
        <v>8.0975559793397096</v>
      </c>
      <c r="AS28" s="7">
        <v>7.6024894492853008</v>
      </c>
      <c r="AT28" s="7">
        <v>8.4935428229543248</v>
      </c>
      <c r="AU28" s="7">
        <v>8.8339864980082048</v>
      </c>
      <c r="AV28" s="7">
        <v>7.9027937623385212</v>
      </c>
      <c r="AW28" s="7">
        <v>8.3363086615123532</v>
      </c>
      <c r="AX28" s="78">
        <f t="shared" si="27"/>
        <v>9.3087920591825632</v>
      </c>
      <c r="AY28" s="78">
        <f t="shared" si="28"/>
        <v>9.7950337580176683</v>
      </c>
      <c r="AZ28" s="78">
        <f t="shared" si="29"/>
        <v>10.038154607435221</v>
      </c>
      <c r="BA28" s="30">
        <v>10.281275456852773</v>
      </c>
      <c r="BB28" s="7">
        <v>9.3944357290787508</v>
      </c>
      <c r="BC28" s="7">
        <v>8.2237593697893825</v>
      </c>
      <c r="BD28" s="7">
        <v>9.6827253410883305</v>
      </c>
      <c r="BE28" s="7">
        <v>8.2237593697893825</v>
      </c>
      <c r="BF28" s="7">
        <v>8.679474911509768</v>
      </c>
      <c r="BG28" s="7">
        <v>7.9471521313789246</v>
      </c>
      <c r="BH28" s="7">
        <v>11.35044020133558</v>
      </c>
      <c r="BI28" s="7">
        <v>10.978271004294255</v>
      </c>
      <c r="BJ28" s="7">
        <v>9.9748027805640849</v>
      </c>
      <c r="BK28" s="46">
        <v>10.256826656076097</v>
      </c>
      <c r="BL28" s="7">
        <v>11.609786870469632</v>
      </c>
      <c r="BM28" s="7">
        <v>11.835373965723646</v>
      </c>
      <c r="BN28" s="7">
        <v>10.512904558125564</v>
      </c>
      <c r="BO28" s="7">
        <v>11.658182714109516</v>
      </c>
      <c r="BP28" s="7">
        <v>10.88283014391067</v>
      </c>
      <c r="BQ28" s="7">
        <v>13.987555470628079</v>
      </c>
      <c r="BR28" s="7">
        <v>12.398094478680441</v>
      </c>
      <c r="BS28" s="7">
        <v>11.569444998701805</v>
      </c>
      <c r="BT28" s="7">
        <v>12.583027894338649</v>
      </c>
      <c r="BU28" s="7">
        <v>10.032879344659134</v>
      </c>
      <c r="BV28" s="7">
        <v>8.2567008449129489</v>
      </c>
      <c r="BW28" s="7">
        <v>7.6646037782367493</v>
      </c>
      <c r="BX28" s="7">
        <v>7.9258978560334743</v>
      </c>
      <c r="BY28" s="7">
        <v>7.6784762336087748</v>
      </c>
      <c r="BZ28" s="7">
        <v>8.9769434133536326</v>
      </c>
      <c r="CA28" s="7">
        <v>8.2439409768387897</v>
      </c>
      <c r="CB28" s="7">
        <v>8.4638413826471659</v>
      </c>
      <c r="CC28" s="7">
        <v>7.2322572218289682</v>
      </c>
      <c r="CD28" s="7">
        <v>7.5615873141218772</v>
      </c>
      <c r="CE28" s="7">
        <v>6.569876703142258</v>
      </c>
      <c r="CF28" s="7">
        <v>9.5469391116274345</v>
      </c>
      <c r="CG28" s="7">
        <v>8.4402520417835021</v>
      </c>
      <c r="CH28" s="7">
        <v>8.5070578367864087</v>
      </c>
      <c r="CI28" s="7">
        <v>6.9598137854973192</v>
      </c>
      <c r="CJ28" s="7">
        <v>8.4710260634352252</v>
      </c>
    </row>
    <row r="29" spans="1:88" ht="20.149999999999999" customHeight="1" x14ac:dyDescent="0.25">
      <c r="A29" s="66" t="s">
        <v>121</v>
      </c>
      <c r="B29" s="46">
        <v>15.285729516774646</v>
      </c>
      <c r="C29" s="46">
        <v>12.718547346321902</v>
      </c>
      <c r="D29" s="46">
        <v>13.09625140695786</v>
      </c>
      <c r="E29" s="46">
        <v>12.256108923806465</v>
      </c>
      <c r="F29" s="46">
        <v>12.711741188523801</v>
      </c>
      <c r="G29" s="46">
        <v>9.7581864522874628</v>
      </c>
      <c r="H29" s="46">
        <v>11.019638084106989</v>
      </c>
      <c r="I29" s="46">
        <v>10.53530141681304</v>
      </c>
      <c r="J29" s="46">
        <v>10.407797770462366</v>
      </c>
      <c r="K29" s="46">
        <v>8.535073868913905</v>
      </c>
      <c r="L29" s="7">
        <v>9.7125411226161393</v>
      </c>
      <c r="M29" s="7">
        <v>9.0760417947141985</v>
      </c>
      <c r="N29" s="7">
        <v>8.7204220705707058</v>
      </c>
      <c r="O29" s="7">
        <v>7.9863681784529366</v>
      </c>
      <c r="P29" s="7">
        <v>8.3676953293025953</v>
      </c>
      <c r="Q29" s="7">
        <v>7.0794432214286314</v>
      </c>
      <c r="R29" s="78">
        <f t="shared" si="26"/>
        <v>6.4775915124961791</v>
      </c>
      <c r="S29" s="7">
        <v>5.8757398035637269</v>
      </c>
      <c r="T29" s="7">
        <v>7.3201884690721215</v>
      </c>
      <c r="U29" s="7">
        <v>6.2634258735833388</v>
      </c>
      <c r="V29" s="7">
        <v>6.6696835549886524</v>
      </c>
      <c r="W29" s="7">
        <v>4.7168727231614538</v>
      </c>
      <c r="X29" s="7">
        <v>6.9807183179608518</v>
      </c>
      <c r="Y29" s="7">
        <v>7.4745127510407503</v>
      </c>
      <c r="Z29" s="7">
        <v>8.3604718626495469</v>
      </c>
      <c r="AA29" s="7">
        <v>8.048248410544149</v>
      </c>
      <c r="AB29" s="7">
        <v>6.5670469167573993</v>
      </c>
      <c r="AC29" s="7">
        <v>7.7767684941877206</v>
      </c>
      <c r="AD29" s="7">
        <v>5.8029562373211556</v>
      </c>
      <c r="AE29" s="7">
        <v>5.9733964344789561</v>
      </c>
      <c r="AF29" s="7">
        <v>6.0356733247911611</v>
      </c>
      <c r="AG29" s="7">
        <v>5.7053539811886784</v>
      </c>
      <c r="AH29" s="7">
        <v>5.873673472136181</v>
      </c>
      <c r="AI29" s="7">
        <v>5.6131009772336578</v>
      </c>
      <c r="AJ29" s="7">
        <v>4.8675121944198052</v>
      </c>
      <c r="AK29" s="7">
        <v>5.8692487829159488</v>
      </c>
      <c r="AL29" s="7">
        <v>6.075184976276585</v>
      </c>
      <c r="AM29" s="7">
        <v>5.3420682061776237</v>
      </c>
      <c r="AN29" s="7">
        <v>6.4601426764839358</v>
      </c>
      <c r="AO29" s="7">
        <v>6.2431222164241591</v>
      </c>
      <c r="AP29" s="7">
        <v>6.6540776429854755</v>
      </c>
      <c r="AQ29" s="7">
        <v>6.2003801279532818</v>
      </c>
      <c r="AR29" s="7">
        <v>6.4041681173661544</v>
      </c>
      <c r="AS29" s="7">
        <v>6.4462291273468004</v>
      </c>
      <c r="AT29" s="7">
        <v>5.4522047273502192</v>
      </c>
      <c r="AU29" s="7">
        <v>5.3634970387438567</v>
      </c>
      <c r="AV29" s="7">
        <v>5.7111785335733041</v>
      </c>
      <c r="AW29" s="7">
        <v>5.0215416736190441</v>
      </c>
      <c r="AX29" s="78">
        <f t="shared" si="27"/>
        <v>5.8556806158815018</v>
      </c>
      <c r="AY29" s="78">
        <f t="shared" si="28"/>
        <v>6.2727500870127297</v>
      </c>
      <c r="AZ29" s="78">
        <f t="shared" si="29"/>
        <v>6.4812848225783437</v>
      </c>
      <c r="BA29" s="30">
        <v>6.6898195581439586</v>
      </c>
      <c r="BB29" s="7">
        <v>7.3304085965974419</v>
      </c>
      <c r="BC29" s="7">
        <v>6.3443211932960528</v>
      </c>
      <c r="BD29" s="7">
        <v>7.3730317314332829</v>
      </c>
      <c r="BE29" s="7">
        <v>6.3443211932960528</v>
      </c>
      <c r="BF29" s="7">
        <v>6.9633880582796364</v>
      </c>
      <c r="BG29" s="7">
        <v>5.5067437924894724</v>
      </c>
      <c r="BH29" s="7">
        <v>8.3020200888406084</v>
      </c>
      <c r="BI29" s="7">
        <v>7.8992809144200145</v>
      </c>
      <c r="BJ29" s="7">
        <v>6.4992406081303775</v>
      </c>
      <c r="BK29" s="46">
        <v>6.6330723320882967</v>
      </c>
      <c r="BL29" s="7">
        <v>7.7356140486942078</v>
      </c>
      <c r="BM29" s="7">
        <v>7.6577273844766189</v>
      </c>
      <c r="BN29" s="7">
        <v>7.201205258917506</v>
      </c>
      <c r="BO29" s="7">
        <v>5.995637823502376</v>
      </c>
      <c r="BP29" s="7">
        <v>7.0359626884642381</v>
      </c>
      <c r="BQ29" s="7">
        <v>11.637555978004313</v>
      </c>
      <c r="BR29" s="7">
        <v>8.1188677860787788</v>
      </c>
      <c r="BS29" s="7">
        <v>8.236063456282789</v>
      </c>
      <c r="BT29" s="7">
        <v>6.9055907526257547</v>
      </c>
      <c r="BU29" s="7">
        <v>8.1577807170967223</v>
      </c>
      <c r="BV29" s="7">
        <v>6.4704418354510702</v>
      </c>
      <c r="BW29" s="7">
        <v>5.2112702858823088</v>
      </c>
      <c r="BX29" s="7">
        <v>5.7506638769692913</v>
      </c>
      <c r="BY29" s="7">
        <v>5.9297972224108424</v>
      </c>
      <c r="BZ29" s="7">
        <v>5.5370271332805903</v>
      </c>
      <c r="CA29" s="7">
        <v>4.939689047831985</v>
      </c>
      <c r="CB29" s="7">
        <v>4.7153989700985166</v>
      </c>
      <c r="CC29" s="7">
        <v>4.0002312136922251</v>
      </c>
      <c r="CD29" s="7">
        <v>5.1535247496716199</v>
      </c>
      <c r="CE29" s="7">
        <v>5.1069250036720613</v>
      </c>
      <c r="CF29" s="7">
        <v>6.5320187891334118</v>
      </c>
      <c r="CG29" s="7">
        <v>5.5264029402734325</v>
      </c>
      <c r="CH29" s="7">
        <v>5.7240688829575248</v>
      </c>
      <c r="CI29" s="7">
        <v>5.751730757769197</v>
      </c>
      <c r="CJ29" s="7">
        <v>6.1391427606499578</v>
      </c>
    </row>
    <row r="30" spans="1:88" ht="20.149999999999999" customHeight="1" x14ac:dyDescent="0.25">
      <c r="A30" s="66" t="s">
        <v>122</v>
      </c>
      <c r="B30" s="46">
        <v>9.6816817116851581</v>
      </c>
      <c r="C30" s="46">
        <v>8.2565618977012623</v>
      </c>
      <c r="D30" s="46">
        <v>9.1513580581551253</v>
      </c>
      <c r="E30" s="46">
        <v>7.7450096524150638</v>
      </c>
      <c r="F30" s="46">
        <v>6.9917603927173309</v>
      </c>
      <c r="G30" s="46">
        <v>7.1789517398017475</v>
      </c>
      <c r="H30" s="46">
        <v>8.2936179358455195</v>
      </c>
      <c r="I30" s="46">
        <v>6.6510537771456661</v>
      </c>
      <c r="J30" s="46">
        <v>6.3125566023311332</v>
      </c>
      <c r="K30" s="46">
        <v>6.2630082757188523</v>
      </c>
      <c r="L30" s="7">
        <v>5.9936882734004566</v>
      </c>
      <c r="M30" s="7">
        <v>4.8119527406964462</v>
      </c>
      <c r="N30" s="7">
        <v>5.9793538252100564</v>
      </c>
      <c r="O30" s="7">
        <v>4.2563470706055222</v>
      </c>
      <c r="P30" s="7">
        <v>6.081539527332156</v>
      </c>
      <c r="Q30" s="7">
        <v>4.0173668261653539</v>
      </c>
      <c r="R30" s="78">
        <f t="shared" si="26"/>
        <v>4.0765886755675353</v>
      </c>
      <c r="S30" s="7">
        <v>4.1358105249697168</v>
      </c>
      <c r="T30" s="7">
        <v>4.3002366562736416</v>
      </c>
      <c r="U30" s="7">
        <v>3.3132993014396437</v>
      </c>
      <c r="V30" s="7">
        <v>3.9769669048647658</v>
      </c>
      <c r="W30" s="7">
        <v>3.4368669817690751</v>
      </c>
      <c r="X30" s="7">
        <v>4.9715508799186816</v>
      </c>
      <c r="Y30" s="7">
        <v>4.7218255801094191</v>
      </c>
      <c r="Z30" s="7">
        <v>3.9733156485307766</v>
      </c>
      <c r="AA30" s="7">
        <v>5.0531051759368273</v>
      </c>
      <c r="AB30" s="7">
        <v>4.5306735551023083</v>
      </c>
      <c r="AC30" s="7">
        <v>4.1344642652850032</v>
      </c>
      <c r="AD30" s="7">
        <v>4.1748971612430257</v>
      </c>
      <c r="AE30" s="7">
        <v>4.1684328699257538</v>
      </c>
      <c r="AF30" s="7">
        <v>3.7918597735459469</v>
      </c>
      <c r="AG30" s="7">
        <v>3.6010626985498386</v>
      </c>
      <c r="AH30" s="7">
        <v>3.8753069900020711</v>
      </c>
      <c r="AI30" s="7">
        <v>3.4279094058967217</v>
      </c>
      <c r="AJ30" s="7">
        <v>3.9512141495140747</v>
      </c>
      <c r="AK30" s="7">
        <v>3.6981676579889267</v>
      </c>
      <c r="AL30" s="7">
        <v>3.9338967484547536</v>
      </c>
      <c r="AM30" s="7">
        <v>3.3431851166618642</v>
      </c>
      <c r="AN30" s="7">
        <v>4.389773003611257</v>
      </c>
      <c r="AO30" s="7">
        <v>3.9160611212040988</v>
      </c>
      <c r="AP30" s="7">
        <v>3.7288267034554816</v>
      </c>
      <c r="AQ30" s="7">
        <v>2.5252571793666738</v>
      </c>
      <c r="AR30" s="7">
        <v>3.2810527288217357</v>
      </c>
      <c r="AS30" s="7">
        <v>4.7935721120226642</v>
      </c>
      <c r="AT30" s="7">
        <v>3.5590943360764107</v>
      </c>
      <c r="AU30" s="7">
        <v>3.0475925187743034</v>
      </c>
      <c r="AV30" s="7">
        <v>3.3549526183514713</v>
      </c>
      <c r="AW30" s="7">
        <v>3.4406676224076724</v>
      </c>
      <c r="AX30" s="78">
        <f t="shared" si="27"/>
        <v>3.6043593685794448</v>
      </c>
      <c r="AY30" s="78">
        <f t="shared" si="28"/>
        <v>3.6862052416653306</v>
      </c>
      <c r="AZ30" s="78">
        <f t="shared" si="29"/>
        <v>3.7271281782082735</v>
      </c>
      <c r="BA30" s="30">
        <v>3.7680511147512168</v>
      </c>
      <c r="BB30" s="7">
        <v>3.6087693193684447</v>
      </c>
      <c r="BC30" s="7">
        <v>3.5520242912183324</v>
      </c>
      <c r="BD30" s="7">
        <v>5.0388298000627065</v>
      </c>
      <c r="BE30" s="7">
        <v>3.5520242912183324</v>
      </c>
      <c r="BF30" s="7">
        <v>3.137080150137459</v>
      </c>
      <c r="BG30" s="7">
        <v>2.755983247075517</v>
      </c>
      <c r="BH30" s="7">
        <v>3.4350942068705974</v>
      </c>
      <c r="BI30" s="7">
        <v>3.9577873955060174</v>
      </c>
      <c r="BJ30" s="7">
        <v>3.6988571210712617</v>
      </c>
      <c r="BK30" s="46">
        <v>3.6128895939661918</v>
      </c>
      <c r="BL30" s="7">
        <v>5.1811913872181234</v>
      </c>
      <c r="BM30" s="7">
        <v>4.6623108917683185</v>
      </c>
      <c r="BN30" s="7">
        <v>3.809093200526918</v>
      </c>
      <c r="BO30" s="7">
        <v>3.3761673142483093</v>
      </c>
      <c r="BP30" s="7">
        <v>4.9858976658892935</v>
      </c>
      <c r="BQ30" s="7">
        <v>5.0103417689594156</v>
      </c>
      <c r="BR30" s="7">
        <v>6.4681127402606498</v>
      </c>
      <c r="BS30" s="7">
        <v>3.4460538205922515</v>
      </c>
      <c r="BT30" s="7">
        <v>4.8882522577217884</v>
      </c>
      <c r="BU30" s="7">
        <v>4.0263638495425669</v>
      </c>
      <c r="BV30" s="7">
        <v>3.0727535344020787</v>
      </c>
      <c r="BW30" s="7">
        <v>3.2669190749102803</v>
      </c>
      <c r="BX30" s="7">
        <v>2.9411444850822135</v>
      </c>
      <c r="BY30" s="7">
        <v>2.4071531874167715</v>
      </c>
      <c r="BZ30" s="7">
        <v>2.6010731471600863</v>
      </c>
      <c r="CA30" s="7">
        <v>2.4116547922149243</v>
      </c>
      <c r="CB30" s="7">
        <v>2.1970073921347208</v>
      </c>
      <c r="CC30" s="7">
        <v>2.9554178955955788</v>
      </c>
      <c r="CD30" s="7">
        <v>1.9827527761878083</v>
      </c>
      <c r="CE30" s="7">
        <v>3.2007311983536</v>
      </c>
      <c r="CF30" s="7">
        <v>3.4476184691180576</v>
      </c>
      <c r="CG30" s="7">
        <v>4.2213001364134719</v>
      </c>
      <c r="CH30" s="7">
        <v>3.0033850954996022</v>
      </c>
      <c r="CI30" s="7">
        <v>2.2796868682675813</v>
      </c>
      <c r="CJ30" s="7">
        <v>2.1160054832928763</v>
      </c>
    </row>
    <row r="31" spans="1:88" ht="20.149999999999999" customHeight="1" thickBot="1" x14ac:dyDescent="0.3">
      <c r="A31" s="96" t="s">
        <v>123</v>
      </c>
      <c r="B31" s="48">
        <v>5.2948071247671473</v>
      </c>
      <c r="C31" s="48">
        <v>4.5991474631569167</v>
      </c>
      <c r="D31" s="48">
        <v>3.4027411646879715</v>
      </c>
      <c r="E31" s="48">
        <v>3.1437087473350487</v>
      </c>
      <c r="F31" s="48">
        <v>3.8790857378351662</v>
      </c>
      <c r="G31" s="48">
        <v>2.8497836285691176</v>
      </c>
      <c r="H31" s="48">
        <v>3.5899908638716878</v>
      </c>
      <c r="I31" s="48">
        <v>3.0813629704515364</v>
      </c>
      <c r="J31" s="48">
        <v>2.8906508327566844</v>
      </c>
      <c r="K31" s="48">
        <v>2.2743460523158148</v>
      </c>
      <c r="L31" s="13">
        <v>3.5876995799193496</v>
      </c>
      <c r="M31" s="13">
        <v>3.0354721388751726</v>
      </c>
      <c r="N31" s="13">
        <v>2.3419613793908458</v>
      </c>
      <c r="O31" s="13">
        <v>2.4587757686784046</v>
      </c>
      <c r="P31" s="13">
        <v>2.4030957188813304</v>
      </c>
      <c r="Q31" s="13">
        <v>1.8368105255169995</v>
      </c>
      <c r="R31" s="78">
        <f t="shared" si="26"/>
        <v>1.6995264607422165</v>
      </c>
      <c r="S31" s="13">
        <v>1.5622423959674336</v>
      </c>
      <c r="T31" s="13">
        <v>2.0086026044268861</v>
      </c>
      <c r="U31" s="13">
        <v>2.0294306276477467</v>
      </c>
      <c r="V31" s="13">
        <v>1.4706455143946329</v>
      </c>
      <c r="W31" s="13">
        <v>2.3080562040746635</v>
      </c>
      <c r="X31" s="13">
        <v>2.3075074471881818</v>
      </c>
      <c r="Y31" s="13">
        <v>1.8426006562337811</v>
      </c>
      <c r="Z31" s="13">
        <v>2.5162368985257788</v>
      </c>
      <c r="AA31" s="13">
        <v>1.9862506702092788</v>
      </c>
      <c r="AB31" s="13">
        <v>2.7846732661998987</v>
      </c>
      <c r="AC31" s="13">
        <v>2.1431675292401184</v>
      </c>
      <c r="AD31" s="13">
        <v>1.687107562853132</v>
      </c>
      <c r="AE31" s="13">
        <v>1.7094829668381373</v>
      </c>
      <c r="AF31" s="13">
        <v>2.5998224883232339</v>
      </c>
      <c r="AG31" s="13">
        <v>2.0727752821232848</v>
      </c>
      <c r="AH31" s="13">
        <v>2.285070355374764</v>
      </c>
      <c r="AI31" s="13">
        <v>1.4565253849575597</v>
      </c>
      <c r="AJ31" s="13">
        <v>1.6744323651155344</v>
      </c>
      <c r="AK31" s="13">
        <v>1.506743528011844</v>
      </c>
      <c r="AL31" s="13">
        <v>1.4987099744790753</v>
      </c>
      <c r="AM31" s="13">
        <v>1.5671362823668353</v>
      </c>
      <c r="AN31" s="13">
        <v>1.4365190189676298</v>
      </c>
      <c r="AO31" s="13">
        <v>1.8696915219278687</v>
      </c>
      <c r="AP31" s="13">
        <v>1.965243701509467</v>
      </c>
      <c r="AQ31" s="13">
        <v>1.4536918580972331</v>
      </c>
      <c r="AR31" s="13">
        <v>2.5874926971060614</v>
      </c>
      <c r="AS31" s="13">
        <v>1.8780691850421014</v>
      </c>
      <c r="AT31" s="13">
        <v>1.4405726466054976</v>
      </c>
      <c r="AU31" s="13">
        <v>1.6868854005023963</v>
      </c>
      <c r="AV31" s="13">
        <v>2.1353072593937741</v>
      </c>
      <c r="AW31" s="13">
        <v>1.2526906262769255</v>
      </c>
      <c r="AX31" s="78">
        <f t="shared" si="27"/>
        <v>2.4932021966937339</v>
      </c>
      <c r="AY31" s="78">
        <f t="shared" si="28"/>
        <v>3.1134579819021377</v>
      </c>
      <c r="AZ31" s="78">
        <f t="shared" si="29"/>
        <v>3.4235858745063399</v>
      </c>
      <c r="BA31" s="31">
        <v>3.733713767110542</v>
      </c>
      <c r="BB31" s="13">
        <v>1.937471102474533</v>
      </c>
      <c r="BC31" s="13">
        <v>1.4283472295556623</v>
      </c>
      <c r="BD31" s="13">
        <v>2.0519345642372993</v>
      </c>
      <c r="BE31" s="13">
        <v>1.4283472295556623</v>
      </c>
      <c r="BF31" s="13">
        <v>2.3012325309639712</v>
      </c>
      <c r="BG31" s="13">
        <v>2.0152073498640828</v>
      </c>
      <c r="BH31" s="13">
        <v>3.1639606149358777</v>
      </c>
      <c r="BI31" s="13">
        <v>1.9614774523951286</v>
      </c>
      <c r="BJ31" s="13">
        <v>2.4226801707227725</v>
      </c>
      <c r="BK31" s="48">
        <v>1.9664542148457687</v>
      </c>
      <c r="BL31" s="13">
        <v>2.3890877600937857</v>
      </c>
      <c r="BM31" s="13">
        <v>2.5566955408383518</v>
      </c>
      <c r="BN31" s="13">
        <v>2.3730058949407522</v>
      </c>
      <c r="BO31" s="13">
        <v>1.5099964011061864</v>
      </c>
      <c r="BP31" s="13">
        <v>3.0606554142321745</v>
      </c>
      <c r="BQ31" s="13">
        <v>3.1169982796716749</v>
      </c>
      <c r="BR31" s="13">
        <v>2.7734865091503544</v>
      </c>
      <c r="BS31" s="13">
        <v>4.0747747374065453</v>
      </c>
      <c r="BT31" s="13">
        <v>2.3287588512537991</v>
      </c>
      <c r="BU31" s="13">
        <v>2.7983728465601589</v>
      </c>
      <c r="BV31" s="13">
        <v>1.4994258020737514</v>
      </c>
      <c r="BW31" s="13">
        <v>1.9365126488053295</v>
      </c>
      <c r="BX31" s="13">
        <v>1.0160041727890896</v>
      </c>
      <c r="BY31" s="13">
        <v>1.9875367334128153</v>
      </c>
      <c r="BZ31" s="13">
        <v>0.90921567412396365</v>
      </c>
      <c r="CA31" s="13">
        <v>0.67257669262217401</v>
      </c>
      <c r="CB31" s="13">
        <v>1.2168588080301588</v>
      </c>
      <c r="CC31" s="13">
        <v>1.7038443199534261</v>
      </c>
      <c r="CD31" s="13">
        <v>0.53803013013001932</v>
      </c>
      <c r="CE31" s="13">
        <v>0.6467579771618257</v>
      </c>
      <c r="CF31" s="13">
        <v>1.3528434037141854</v>
      </c>
      <c r="CG31" s="13">
        <v>0.7850292031286874</v>
      </c>
      <c r="CH31" s="13">
        <v>1.7381684489146201</v>
      </c>
      <c r="CI31" s="13">
        <v>1.2095916497040464</v>
      </c>
      <c r="CJ31" s="13">
        <v>1.9353632627959634</v>
      </c>
    </row>
    <row r="32" spans="1:88" ht="30" customHeight="1" thickBot="1" x14ac:dyDescent="0.3">
      <c r="A32" s="8" t="s">
        <v>124</v>
      </c>
      <c r="B32" s="9">
        <v>16.146966492008961</v>
      </c>
      <c r="C32" s="9">
        <v>14.447166942049336</v>
      </c>
      <c r="D32" s="9">
        <v>14.276928695265866</v>
      </c>
      <c r="E32" s="9">
        <v>14.653478151314452</v>
      </c>
      <c r="F32" s="9">
        <v>13.131339344451609</v>
      </c>
      <c r="G32" s="9">
        <v>12.021879282001109</v>
      </c>
      <c r="H32" s="9">
        <v>12.91846311664872</v>
      </c>
      <c r="I32" s="9">
        <v>11.964514734733001</v>
      </c>
      <c r="J32" s="9">
        <v>11.121767199314279</v>
      </c>
      <c r="K32" s="9">
        <v>10.035494804566996</v>
      </c>
      <c r="L32" s="9">
        <v>11.30833634825018</v>
      </c>
      <c r="M32" s="9">
        <v>10.324909838759416</v>
      </c>
      <c r="N32" s="9">
        <v>10.094598152218149</v>
      </c>
      <c r="O32" s="9">
        <v>8.6243673810202459</v>
      </c>
      <c r="P32" s="9">
        <v>9.6893355382282653</v>
      </c>
      <c r="Q32" s="9">
        <v>8.2877836933644442</v>
      </c>
      <c r="R32" s="33">
        <f>+(Q32+S32)/2</f>
        <v>7.9051252800129754</v>
      </c>
      <c r="S32" s="9">
        <v>7.5224668666615067</v>
      </c>
      <c r="T32" s="9">
        <v>8.3105716294337721</v>
      </c>
      <c r="U32" s="9">
        <v>7.9540599003138546</v>
      </c>
      <c r="V32" s="9">
        <v>7.774917567620883</v>
      </c>
      <c r="W32" s="9">
        <v>7.2786222750699237</v>
      </c>
      <c r="X32" s="10">
        <v>8.3610468241429992</v>
      </c>
      <c r="Y32" s="10">
        <v>8.7391790256473403</v>
      </c>
      <c r="Z32" s="10">
        <v>9.0875273551840632</v>
      </c>
      <c r="AA32" s="10">
        <v>8.3721781297027533</v>
      </c>
      <c r="AB32" s="10">
        <v>8.2702027892449266</v>
      </c>
      <c r="AC32" s="10">
        <v>7.850624437394579</v>
      </c>
      <c r="AD32" s="10">
        <v>7.4514600377133711</v>
      </c>
      <c r="AE32" s="10">
        <v>7.2900872527887257</v>
      </c>
      <c r="AF32" s="10">
        <v>7.3861668714028754</v>
      </c>
      <c r="AG32" s="10">
        <v>7.3486397823233975</v>
      </c>
      <c r="AH32" s="10">
        <v>7.2275636845126696</v>
      </c>
      <c r="AI32" s="10">
        <v>6.7448808214157916</v>
      </c>
      <c r="AJ32" s="10">
        <v>7.1440618572122787</v>
      </c>
      <c r="AK32" s="10">
        <v>7.2139158161342367</v>
      </c>
      <c r="AL32" s="10">
        <v>7.6215502044824817</v>
      </c>
      <c r="AM32" s="10">
        <v>6.8696617713269532</v>
      </c>
      <c r="AN32" s="10">
        <v>7.9</v>
      </c>
      <c r="AO32" s="10">
        <v>7.2</v>
      </c>
      <c r="AP32" s="10">
        <v>6.8</v>
      </c>
      <c r="AQ32" s="10">
        <v>6.4</v>
      </c>
      <c r="AR32" s="10">
        <v>7.1248383098622021</v>
      </c>
      <c r="AS32" s="10">
        <v>7.4924112494423198</v>
      </c>
      <c r="AT32" s="10">
        <v>7.5251397366489821</v>
      </c>
      <c r="AU32" s="10">
        <v>6.9317912712991534</v>
      </c>
      <c r="AV32" s="10">
        <v>7.114197836454311</v>
      </c>
      <c r="AW32" s="10">
        <v>6.5728423041998569</v>
      </c>
      <c r="AX32" s="33">
        <f>+(AW32+BA32)/2</f>
        <v>7.9466072122641531</v>
      </c>
      <c r="AY32" s="33">
        <f>+(AX32+BA32)/2</f>
        <v>8.6334896662963025</v>
      </c>
      <c r="AZ32" s="33">
        <f>+(AY32+BA32)/2</f>
        <v>8.9769308933123764</v>
      </c>
      <c r="BA32" s="29">
        <v>9.3203721203284502</v>
      </c>
      <c r="BB32" s="10">
        <v>8.5197273270225722</v>
      </c>
      <c r="BC32" s="10">
        <v>7.5612803552202372</v>
      </c>
      <c r="BD32" s="10">
        <v>9.2095924251565542</v>
      </c>
      <c r="BE32" s="10">
        <v>8.719261860073523</v>
      </c>
      <c r="BF32" s="10">
        <v>8.2984722012976562</v>
      </c>
      <c r="BG32" s="10">
        <v>7.2207166948354926</v>
      </c>
      <c r="BH32" s="10">
        <v>9.147567686026477</v>
      </c>
      <c r="BI32" s="10">
        <v>9.618578561146812</v>
      </c>
      <c r="BJ32" s="10">
        <v>8.9899529638675766</v>
      </c>
      <c r="BK32" s="51">
        <v>9.1312856546376189</v>
      </c>
      <c r="BL32" s="10">
        <v>10.072033799432912</v>
      </c>
      <c r="BM32" s="10">
        <v>10.642162411483259</v>
      </c>
      <c r="BN32" s="10">
        <v>9.7373507709215694</v>
      </c>
      <c r="BO32" s="10">
        <v>8.8985593087313699</v>
      </c>
      <c r="BP32" s="10">
        <v>10.373428175447593</v>
      </c>
      <c r="BQ32" s="10">
        <v>13.080524764877325</v>
      </c>
      <c r="BR32" s="10">
        <v>11.717837995713062</v>
      </c>
      <c r="BS32" s="10">
        <v>10.957932213927226</v>
      </c>
      <c r="BT32" s="10">
        <v>10.160719662752184</v>
      </c>
      <c r="BU32" s="10">
        <v>9.6009033360691145</v>
      </c>
      <c r="BV32" s="10">
        <v>8.2361832938799822</v>
      </c>
      <c r="BW32" s="10">
        <v>6.9669585658899011</v>
      </c>
      <c r="BX32" s="10">
        <v>6.9692188349825059</v>
      </c>
      <c r="BY32" s="10">
        <v>6.8580750459284339</v>
      </c>
      <c r="BZ32" s="10">
        <v>7.1092965384933064</v>
      </c>
      <c r="CA32" s="10">
        <v>6.2818039158846108</v>
      </c>
      <c r="CB32" s="10">
        <v>6.8745275375873227</v>
      </c>
      <c r="CC32" s="10">
        <v>6.2384413235193348</v>
      </c>
      <c r="CD32" s="10">
        <v>5.7260298709424573</v>
      </c>
      <c r="CE32" s="10">
        <v>5.7325714451484506</v>
      </c>
      <c r="CF32" s="10">
        <v>7.6625050960522234</v>
      </c>
      <c r="CG32" s="10">
        <v>7.5644125760880598</v>
      </c>
      <c r="CH32" s="10">
        <v>6.9231869327452413</v>
      </c>
      <c r="CI32" s="10">
        <v>6.445552265700587</v>
      </c>
      <c r="CJ32" s="10">
        <v>7.8895965292238852</v>
      </c>
    </row>
    <row r="33" spans="1:88" ht="30" customHeight="1" x14ac:dyDescent="0.25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1"/>
      <c r="S33" s="80"/>
      <c r="T33" s="80"/>
      <c r="U33" s="80"/>
      <c r="V33" s="80"/>
      <c r="W33" s="80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1"/>
      <c r="AY33" s="81"/>
      <c r="AZ33" s="81"/>
      <c r="BA33" s="83"/>
      <c r="BB33" s="82"/>
      <c r="BC33" s="82"/>
      <c r="BD33" s="82"/>
      <c r="BE33" s="82"/>
      <c r="BF33" s="82"/>
      <c r="BG33" s="82"/>
      <c r="BH33" s="82"/>
      <c r="BI33" s="82"/>
      <c r="BJ33" s="82"/>
      <c r="BK33" s="84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</row>
    <row r="34" spans="1:88" ht="30" customHeight="1" x14ac:dyDescent="0.2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1"/>
      <c r="S34" s="80"/>
      <c r="T34" s="80"/>
      <c r="U34" s="80"/>
      <c r="V34" s="80"/>
      <c r="W34" s="80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1"/>
      <c r="AY34" s="81"/>
      <c r="AZ34" s="81"/>
      <c r="BA34" s="83"/>
      <c r="BB34" s="82"/>
      <c r="BC34" s="82"/>
      <c r="BD34" s="82"/>
      <c r="BE34" s="82"/>
      <c r="BF34" s="82"/>
      <c r="BG34" s="82"/>
      <c r="BH34" s="82"/>
      <c r="BI34" s="82"/>
      <c r="BJ34" s="82"/>
      <c r="BK34" s="84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</row>
    <row r="35" spans="1:88" ht="30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1"/>
      <c r="S35" s="80"/>
      <c r="T35" s="80"/>
      <c r="U35" s="80"/>
      <c r="V35" s="80"/>
      <c r="W35" s="80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1"/>
      <c r="AY35" s="81"/>
      <c r="AZ35" s="81"/>
      <c r="BA35" s="83"/>
      <c r="BB35" s="82"/>
      <c r="BC35" s="82"/>
      <c r="BD35" s="82"/>
      <c r="BE35" s="82"/>
      <c r="BF35" s="82"/>
      <c r="BG35" s="82"/>
      <c r="BH35" s="82"/>
      <c r="BI35" s="82"/>
      <c r="BJ35" s="82"/>
      <c r="BK35" s="84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</row>
    <row r="36" spans="1:88" ht="13.5" customHeight="1" x14ac:dyDescent="0.25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1"/>
      <c r="S36" s="80"/>
      <c r="T36" s="80"/>
      <c r="U36" s="80"/>
      <c r="V36" s="80"/>
      <c r="W36" s="80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1"/>
      <c r="AY36" s="81"/>
      <c r="AZ36" s="81"/>
      <c r="BA36" s="83"/>
      <c r="BB36" s="82"/>
      <c r="BC36" s="82"/>
      <c r="BD36" s="82"/>
      <c r="BE36" s="82"/>
      <c r="BF36" s="82"/>
      <c r="BG36" s="82"/>
      <c r="BH36" s="82"/>
      <c r="BI36" s="82"/>
      <c r="BJ36" s="82"/>
      <c r="BK36" s="84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</row>
    <row r="37" spans="1:88" ht="15.75" customHeight="1" x14ac:dyDescent="0.25">
      <c r="A37" s="89" t="s">
        <v>2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16"/>
      <c r="AK37" s="16"/>
      <c r="AL37" s="16"/>
      <c r="AM37" s="16"/>
      <c r="AN37" s="16"/>
      <c r="AO37" s="16"/>
      <c r="AP37" s="16"/>
      <c r="AQ37" s="20"/>
      <c r="AR37" s="20"/>
      <c r="AS37" s="21"/>
      <c r="AT37" s="21"/>
      <c r="AU37" s="24"/>
      <c r="AV37" s="24"/>
      <c r="AW37" s="26"/>
      <c r="AX37" s="26"/>
      <c r="AY37" s="26"/>
      <c r="AZ37" s="32"/>
      <c r="BA37" s="27"/>
      <c r="BB37" s="16"/>
      <c r="BC37" s="36"/>
      <c r="BD37" s="35"/>
      <c r="BE37" s="37"/>
      <c r="BF37" s="38"/>
      <c r="BG37" s="39"/>
      <c r="BH37" s="40"/>
      <c r="BI37" s="41"/>
      <c r="BJ37" s="42"/>
      <c r="BK37" s="44"/>
      <c r="BL37" s="52"/>
      <c r="BM37" s="53"/>
      <c r="BN37" s="55"/>
      <c r="BO37" s="54"/>
      <c r="BP37" s="56"/>
      <c r="BQ37" s="58"/>
      <c r="BR37" s="57"/>
      <c r="BS37" s="59"/>
      <c r="BT37" s="60"/>
      <c r="BU37" s="61"/>
      <c r="BV37" s="62"/>
      <c r="BW37" s="64"/>
      <c r="BX37" s="63"/>
      <c r="BY37" s="65"/>
      <c r="BZ37" s="67"/>
      <c r="CA37" s="68"/>
      <c r="CB37" s="69"/>
      <c r="CC37" s="70"/>
      <c r="CD37" s="71"/>
      <c r="CE37" s="72"/>
      <c r="CF37" s="73"/>
      <c r="CG37" s="74"/>
      <c r="CH37" s="75"/>
      <c r="CI37" s="76"/>
      <c r="CJ37" s="77"/>
    </row>
    <row r="38" spans="1:88" s="23" customFormat="1" ht="24" customHeight="1" x14ac:dyDescent="0.25">
      <c r="A38" s="95" t="s">
        <v>3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</row>
    <row r="39" spans="1:88" s="23" customFormat="1" ht="27.75" customHeight="1" x14ac:dyDescent="0.25">
      <c r="A39" s="90" t="s">
        <v>4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34"/>
      <c r="AT39" s="34"/>
    </row>
    <row r="40" spans="1:88" s="34" customFormat="1" ht="32.25" customHeight="1" x14ac:dyDescent="0.25">
      <c r="A40" s="90" t="s">
        <v>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BK40" s="23"/>
    </row>
    <row r="41" spans="1:88" s="34" customFormat="1" ht="20.149999999999999" customHeight="1" x14ac:dyDescent="0.25">
      <c r="A41" s="90" t="s">
        <v>6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BK41" s="23"/>
    </row>
    <row r="42" spans="1:88" ht="32.25" customHeight="1" x14ac:dyDescent="0.25">
      <c r="A42" s="88" t="s">
        <v>8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</row>
    <row r="43" spans="1:88" ht="20.149999999999999" customHeight="1" x14ac:dyDescent="0.25">
      <c r="A43" s="6"/>
      <c r="L43" s="14"/>
      <c r="M43" s="14"/>
      <c r="N43" s="14"/>
      <c r="O43" s="14"/>
      <c r="P43" s="14"/>
      <c r="Q43" s="14"/>
      <c r="R43" s="15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49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</row>
    <row r="44" spans="1:88" ht="20.149999999999999" customHeight="1" x14ac:dyDescent="0.25">
      <c r="A44" s="6"/>
      <c r="L44" s="14"/>
      <c r="M44" s="14"/>
      <c r="N44" s="14"/>
      <c r="O44" s="14"/>
      <c r="P44" s="14"/>
      <c r="Q44" s="14"/>
      <c r="R44" s="15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49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</row>
    <row r="45" spans="1:88" ht="12.75" customHeight="1" x14ac:dyDescent="0.25"/>
    <row r="46" spans="1:88" ht="12.75" customHeight="1" x14ac:dyDescent="0.25"/>
    <row r="47" spans="1:88" ht="12.75" customHeight="1" x14ac:dyDescent="0.25"/>
    <row r="48" spans="1:8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0" hidden="1" customHeight="1" x14ac:dyDescent="0.25"/>
    <row r="86" ht="0" hidden="1" customHeight="1" x14ac:dyDescent="0.25"/>
    <row r="87" ht="0" hidden="1" customHeight="1" x14ac:dyDescent="0.25"/>
  </sheetData>
  <mergeCells count="9">
    <mergeCell ref="A2:AI2"/>
    <mergeCell ref="A1:AI1"/>
    <mergeCell ref="A41:AR41"/>
    <mergeCell ref="A38:BD38"/>
    <mergeCell ref="A42:AI42"/>
    <mergeCell ref="A37:AI37"/>
    <mergeCell ref="A39:AR39"/>
    <mergeCell ref="A40:AR40"/>
    <mergeCell ref="A3:AI3"/>
  </mergeCells>
  <phoneticPr fontId="37" type="noConversion"/>
  <printOptions horizontalCentered="1" verticalCentered="1"/>
  <pageMargins left="0.39370078740157483" right="0.39370078740157483" top="0" bottom="0" header="0" footer="0"/>
  <pageSetup paperSize="9" scale="1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VAXT</dc:creator>
  <cp:lastModifiedBy>WGekko</cp:lastModifiedBy>
  <cp:lastPrinted>2017-04-10T18:24:28Z</cp:lastPrinted>
  <dcterms:created xsi:type="dcterms:W3CDTF">2007-01-04T19:20:27Z</dcterms:created>
  <dcterms:modified xsi:type="dcterms:W3CDTF">2025-11-23T01:51:43Z</dcterms:modified>
</cp:coreProperties>
</file>